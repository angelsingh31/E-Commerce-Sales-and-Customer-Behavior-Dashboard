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ngel Singh\Downloads\"/>
    </mc:Choice>
  </mc:AlternateContent>
  <xr:revisionPtr revIDLastSave="0" documentId="13_ncr:1_{95F0F933-4811-463F-8633-B0C3101462EC}" xr6:coauthVersionLast="47" xr6:coauthVersionMax="47" xr10:uidLastSave="{00000000-0000-0000-0000-000000000000}"/>
  <bookViews>
    <workbookView xWindow="-108" yWindow="-108" windowWidth="23256" windowHeight="12456" firstSheet="2" activeTab="9" xr2:uid="{00000000-000D-0000-FFFF-FFFF00000000}"/>
  </bookViews>
  <sheets>
    <sheet name="Sheet1" sheetId="5" r:id="rId1"/>
    <sheet name="Sheet3" sheetId="7" r:id="rId2"/>
    <sheet name="Sheet2" sheetId="6" r:id="rId3"/>
    <sheet name="Sheet4" sheetId="8" r:id="rId4"/>
    <sheet name="Sheet6" sheetId="10" r:id="rId5"/>
    <sheet name="Sheet5" sheetId="9" r:id="rId6"/>
    <sheet name="Sheet8" sheetId="12" r:id="rId7"/>
    <sheet name="Data" sheetId="1" r:id="rId8"/>
    <sheet name="Questions &amp; KPIs" sheetId="2" r:id="rId9"/>
    <sheet name="Dashboard" sheetId="3" r:id="rId10"/>
    <sheet name="Logo &amp; Colors" sheetId="4" r:id="rId11"/>
  </sheets>
  <definedNames>
    <definedName name="_xlchart.v5.0" hidden="1">Sheet5!$F$4:$G$4</definedName>
    <definedName name="_xlchart.v5.1" hidden="1">Sheet5!$F$5:$G$62</definedName>
    <definedName name="_xlchart.v5.10" hidden="1">Sheet5!$L$4</definedName>
    <definedName name="_xlchart.v5.11" hidden="1">Sheet5!$L$5:$L$62</definedName>
    <definedName name="_xlchart.v5.12" hidden="1">Sheet5!$F$4:$G$4</definedName>
    <definedName name="_xlchart.v5.13" hidden="1">Sheet5!$F$5:$G$62</definedName>
    <definedName name="_xlchart.v5.14" hidden="1">Sheet5!$H$4</definedName>
    <definedName name="_xlchart.v5.15" hidden="1">Sheet5!$H$5:$H$62</definedName>
    <definedName name="_xlchart.v5.16" hidden="1">Sheet5!$J$4:$K$4</definedName>
    <definedName name="_xlchart.v5.17" hidden="1">Sheet5!$J$5:$K$62</definedName>
    <definedName name="_xlchart.v5.18" hidden="1">Sheet5!$L$4</definedName>
    <definedName name="_xlchart.v5.19" hidden="1">Sheet5!$L$5:$L$62</definedName>
    <definedName name="_xlchart.v5.2" hidden="1">Sheet5!$H$4</definedName>
    <definedName name="_xlchart.v5.3" hidden="1">Sheet5!$H$5:$H$62</definedName>
    <definedName name="_xlchart.v5.4" hidden="1">Sheet5!$J$4:$K$4</definedName>
    <definedName name="_xlchart.v5.5" hidden="1">Sheet5!$J$5:$K$62</definedName>
    <definedName name="_xlchart.v5.6" hidden="1">Sheet5!$L$4</definedName>
    <definedName name="_xlchart.v5.7" hidden="1">Sheet5!$L$5:$L$62</definedName>
    <definedName name="_xlchart.v5.8" hidden="1">Sheet5!$J$4:$K$4</definedName>
    <definedName name="_xlchart.v5.9" hidden="1">Sheet5!$J$5:$K$62</definedName>
    <definedName name="_xlnm.Print_Area" localSheetId="9">Dashboard!$A$1:$X$40</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9" l="1"/>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5" i="9"/>
  <c r="J4" i="9"/>
  <c r="L4" i="9"/>
  <c r="K4" i="9"/>
  <c r="H4" i="9"/>
  <c r="G4" i="9"/>
  <c r="F4"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5" i="9"/>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L9" i="6"/>
  <c r="K9" i="6"/>
  <c r="J9" i="6"/>
  <c r="I9" i="6"/>
  <c r="H9" i="6"/>
  <c r="L8" i="6"/>
  <c r="K8" i="6"/>
  <c r="J8" i="6"/>
  <c r="I8" i="6"/>
  <c r="H8" i="6"/>
  <c r="L7" i="6"/>
  <c r="K7" i="6"/>
  <c r="J7" i="6"/>
  <c r="I7" i="6"/>
  <c r="H7" i="6"/>
  <c r="L6" i="6"/>
  <c r="K6" i="6"/>
  <c r="J6" i="6"/>
  <c r="I6" i="6"/>
  <c r="H6" i="6"/>
  <c r="L5" i="6"/>
  <c r="K5" i="6"/>
  <c r="J5" i="6"/>
  <c r="I5" i="6"/>
  <c r="H5" i="6"/>
  <c r="L4" i="6"/>
  <c r="K4" i="6"/>
  <c r="J4" i="6"/>
  <c r="I4" i="6"/>
  <c r="K5" i="5"/>
  <c r="J5" i="5"/>
  <c r="I5" i="5"/>
  <c r="H5" i="5"/>
  <c r="G5" i="5"/>
  <c r="O2364" i="1" a="1"/>
  <c r="O2300" i="1" a="1"/>
  <c r="O2236" i="1" a="1"/>
  <c r="O2341" i="1" a="1"/>
  <c r="O2277" i="1" a="1"/>
  <c r="O2225" i="1" a="1"/>
  <c r="O2209" i="1" a="1"/>
  <c r="O2352" i="1" a="1"/>
  <c r="O2386" i="1" a="1"/>
  <c r="O2322" i="1" a="1"/>
  <c r="O2356" i="1" a="1"/>
  <c r="O2365" i="1" a="1"/>
  <c r="O2376" i="1" a="1"/>
  <c r="O2312" i="1" a="1"/>
  <c r="O2248" i="1" a="1"/>
  <c r="O2240" i="1" a="1"/>
  <c r="O2164" i="1" a="1"/>
  <c r="O2331" i="1" a="1"/>
  <c r="O2237" i="1" a="1"/>
  <c r="O2143" i="1" a="1"/>
  <c r="O2103" i="1" a="1"/>
  <c r="O2308" i="1" a="1"/>
  <c r="O2234" i="1" a="1"/>
  <c r="O2288" i="1" a="1"/>
  <c r="O2314" i="1" a="1"/>
  <c r="O2212" i="1" a="1"/>
  <c r="O2260" i="1" a="1"/>
  <c r="O2230" i="1" a="1"/>
  <c r="O2169" i="1" a="1"/>
  <c r="O2295" i="1" a="1"/>
  <c r="O2186" i="1" a="1"/>
  <c r="O2102" i="1" a="1"/>
  <c r="O2034" i="1" a="1"/>
  <c r="O1970" i="1" a="1"/>
  <c r="O1906" i="1" a="1"/>
  <c r="O1842" i="1" a="1"/>
  <c r="O1809" i="1" a="1"/>
  <c r="O1793" i="1" a="1"/>
  <c r="O1777" i="1" a="1"/>
  <c r="O1761" i="1" a="1"/>
  <c r="O2084" i="1" a="1"/>
  <c r="O2020" i="1" a="1"/>
  <c r="O1956" i="1" a="1"/>
  <c r="O1892" i="1" a="1"/>
  <c r="O1828" i="1" a="1"/>
  <c r="O2112" i="1" a="1"/>
  <c r="O2047" i="1" a="1"/>
  <c r="O1983" i="1" a="1"/>
  <c r="O1919" i="1" a="1"/>
  <c r="O1855" i="1" a="1"/>
  <c r="O2171" i="1" a="1"/>
  <c r="O2065" i="1" a="1"/>
  <c r="O2001" i="1" a="1"/>
  <c r="O2146" i="1" a="1"/>
  <c r="O2067" i="1" a="1"/>
  <c r="O2003" i="1" a="1"/>
  <c r="O1939" i="1" a="1"/>
  <c r="O2124" i="1" a="1"/>
  <c r="O2028" i="1" a="1"/>
  <c r="O2151" i="1" a="1"/>
  <c r="O2078" i="1" a="1"/>
  <c r="O2014" i="1" a="1"/>
  <c r="O1950" i="1" a="1"/>
  <c r="O2089" i="1" a="1"/>
  <c r="O2025" i="1" a="1"/>
  <c r="O1961" i="1" a="1"/>
  <c r="O1897" i="1" a="1"/>
  <c r="O1833" i="1" a="1"/>
  <c r="O1875" i="1" a="1"/>
  <c r="O1780" i="1" a="1"/>
  <c r="O1825" i="1" a="1"/>
  <c r="O1866" i="1" a="1"/>
  <c r="O1798" i="1" a="1"/>
  <c r="O1909" i="1" a="1"/>
  <c r="O1957" i="1" a="1"/>
  <c r="O1832" i="1" a="1"/>
  <c r="O1757" i="1" a="1"/>
  <c r="O1694" i="1" a="1"/>
  <c r="O1630" i="1" a="1"/>
  <c r="O1762" i="1" a="1"/>
  <c r="O1689" i="1" a="1"/>
  <c r="O1625" i="1" a="1"/>
  <c r="O1746" i="1" a="1"/>
  <c r="O1682" i="1" a="1"/>
  <c r="O1618" i="1" a="1"/>
  <c r="O1732" i="1" a="1"/>
  <c r="O1743" i="1" a="1"/>
  <c r="O1758" i="1" a="1"/>
  <c r="O1738" i="1" a="1"/>
  <c r="O1733" i="1" a="1"/>
  <c r="O1669" i="1" a="1"/>
  <c r="O1610" i="1" a="1"/>
  <c r="O1594" i="1" a="1"/>
  <c r="O1649" i="1" a="1"/>
  <c r="O1571" i="1" a="1"/>
  <c r="O1507" i="1" a="1"/>
  <c r="O1443" i="1" a="1"/>
  <c r="O1379" i="1" a="1"/>
  <c r="O1327" i="1" a="1"/>
  <c r="O1311" i="1" a="1"/>
  <c r="O1640" i="1" a="1"/>
  <c r="O1532" i="1" a="1"/>
  <c r="O1468" i="1" a="1"/>
  <c r="O1404" i="1" a="1"/>
  <c r="O1340" i="1" a="1"/>
  <c r="O1589" i="1" a="1"/>
  <c r="O1527" i="1" a="1"/>
  <c r="O1463" i="1" a="1"/>
  <c r="O1399" i="1" a="1"/>
  <c r="O1335" i="1" a="1"/>
  <c r="O1642" i="1" a="1"/>
  <c r="O1545" i="1" a="1"/>
  <c r="O1481" i="1" a="1"/>
  <c r="O1697" i="1" a="1"/>
  <c r="O1586" i="1" a="1"/>
  <c r="O1522" i="1" a="1"/>
  <c r="O1458" i="1" a="1"/>
  <c r="O1615" i="1" a="1"/>
  <c r="O1524" i="1" a="1"/>
  <c r="O1460" i="1" a="1"/>
  <c r="O1583" i="1" a="1"/>
  <c r="O1519" i="1" a="1"/>
  <c r="O1455" i="1" a="1"/>
  <c r="O1638" i="1" a="1"/>
  <c r="O1544" i="1" a="1"/>
  <c r="O1480" i="1" a="1"/>
  <c r="O1416" i="1" a="1"/>
  <c r="O2355" i="1" a="1"/>
  <c r="O2291" i="1" a="1"/>
  <c r="O2398" i="1" a="1"/>
  <c r="O2334" i="1" a="1"/>
  <c r="O2270" i="1" a="1"/>
  <c r="O2223" i="1" a="1"/>
  <c r="O2207" i="1" a="1"/>
  <c r="O2343" i="1" a="1"/>
  <c r="O2377" i="1" a="1"/>
  <c r="O2313" i="1" a="1"/>
  <c r="O2347" i="1" a="1"/>
  <c r="O2358" i="1" a="1"/>
  <c r="O2367" i="1" a="1"/>
  <c r="O2303" i="1" a="1"/>
  <c r="O2239" i="1" a="1"/>
  <c r="O2224" i="1" a="1"/>
  <c r="O2157" i="1" a="1"/>
  <c r="O2324" i="1" a="1"/>
  <c r="O2198" i="1" a="1"/>
  <c r="O2134" i="1" a="1"/>
  <c r="O2101" i="1" a="1"/>
  <c r="O2305" i="1" a="1"/>
  <c r="O2226" i="1" a="1"/>
  <c r="O2269" i="1" a="1"/>
  <c r="O2285" i="1" a="1"/>
  <c r="O2204" i="1" a="1"/>
  <c r="O2241" i="1" a="1"/>
  <c r="O2222" i="1" a="1"/>
  <c r="O2160" i="1" a="1"/>
  <c r="O2292" i="1" a="1"/>
  <c r="O2183" i="1" a="1"/>
  <c r="O2094" i="1" a="1"/>
  <c r="O2027" i="1" a="1"/>
  <c r="O1963" i="1" a="1"/>
  <c r="O1899" i="1" a="1"/>
  <c r="O1835" i="1" a="1"/>
  <c r="O1807" i="1" a="1"/>
  <c r="O1791" i="1" a="1"/>
  <c r="O1775" i="1" a="1"/>
  <c r="O2188" i="1" a="1"/>
  <c r="O2077" i="1" a="1"/>
  <c r="O2013" i="1" a="1"/>
  <c r="O1949" i="1" a="1"/>
  <c r="O1885" i="1" a="1"/>
  <c r="O1821" i="1" a="1"/>
  <c r="O2104" i="1" a="1"/>
  <c r="O2038" i="1" a="1"/>
  <c r="O1974" i="1" a="1"/>
  <c r="O1910" i="1" a="1"/>
  <c r="O1846" i="1" a="1"/>
  <c r="O2152" i="1" a="1"/>
  <c r="O2056" i="1" a="1"/>
  <c r="O1992" i="1" a="1"/>
  <c r="O2122" i="1" a="1"/>
  <c r="O2058" i="1" a="1"/>
  <c r="O1994" i="1" a="1"/>
  <c r="O1930" i="1" a="1"/>
  <c r="O2085" i="1" a="1"/>
  <c r="O2021" i="1" a="1"/>
  <c r="O2140" i="1" a="1"/>
  <c r="O2071" i="1" a="1"/>
  <c r="O2007" i="1" a="1"/>
  <c r="O2197" i="1" a="1"/>
  <c r="O2080" i="1" a="1"/>
  <c r="O2016" i="1" a="1"/>
  <c r="O1952" i="1" a="1"/>
  <c r="O1888" i="1" a="1"/>
  <c r="O1824" i="1" a="1"/>
  <c r="O1852" i="1" a="1"/>
  <c r="O1772" i="1" a="1"/>
  <c r="O1754" i="1" a="1"/>
  <c r="O1863" i="1" a="1"/>
  <c r="O1790" i="1" a="1"/>
  <c r="O1880" i="1" a="1"/>
  <c r="O1937" i="1" a="1"/>
  <c r="O1829" i="1" a="1"/>
  <c r="O1751" i="1" a="1"/>
  <c r="O1687" i="1" a="1"/>
  <c r="O1623" i="1" a="1"/>
  <c r="O1744" i="1" a="1"/>
  <c r="O1680" i="1" a="1"/>
  <c r="O1616" i="1" a="1"/>
  <c r="O1739" i="1" a="1"/>
  <c r="O1675" i="1" a="1"/>
  <c r="O1868" i="1" a="1"/>
  <c r="O1725" i="1" a="1"/>
  <c r="O1734" i="1" a="1"/>
  <c r="O1755" i="1" a="1"/>
  <c r="O1911" i="1" a="1"/>
  <c r="O1724" i="1" a="1"/>
  <c r="O1660" i="1" a="1"/>
  <c r="O1608" i="1" a="1"/>
  <c r="O1592" i="1" a="1"/>
  <c r="O1620" i="1" a="1"/>
  <c r="O1562" i="1" a="1"/>
  <c r="O1498" i="1" a="1"/>
  <c r="O1434" i="1" a="1"/>
  <c r="O1370" i="1" a="1"/>
  <c r="O1325" i="1" a="1"/>
  <c r="O1309" i="1" a="1"/>
  <c r="O1631" i="1" a="1"/>
  <c r="O1525" i="1" a="1"/>
  <c r="O1461" i="1" a="1"/>
  <c r="O1397" i="1" a="1"/>
  <c r="O1333" i="1" a="1"/>
  <c r="O1582" i="1" a="1"/>
  <c r="O1518" i="1" a="1"/>
  <c r="O1454" i="1" a="1"/>
  <c r="O1390" i="1" a="1"/>
  <c r="O1715" i="1" a="1"/>
  <c r="O1622" i="1" a="1"/>
  <c r="O1536" i="1" a="1"/>
  <c r="O1472" i="1" a="1"/>
  <c r="O1668" i="1" a="1"/>
  <c r="O1579" i="1" a="1"/>
  <c r="O1515" i="1" a="1"/>
  <c r="O1451" i="1" a="1"/>
  <c r="O1581" i="1" a="1"/>
  <c r="O1517" i="1" a="1"/>
  <c r="O1453" i="1" a="1"/>
  <c r="O1574" i="1" a="1"/>
  <c r="O1510" i="1" a="1"/>
  <c r="O1720" i="1" a="1"/>
  <c r="O1635" i="1" a="1"/>
  <c r="O1537" i="1" a="1"/>
  <c r="O1473" i="1" a="1"/>
  <c r="O1409" i="1" a="1"/>
  <c r="O2401" i="1" a="1"/>
  <c r="O2400" i="1" a="1"/>
  <c r="O2396" i="1" a="1"/>
  <c r="O2332" i="1" a="1"/>
  <c r="O2268" i="1" a="1"/>
  <c r="O2373" i="1" a="1"/>
  <c r="O2309" i="1" a="1"/>
  <c r="O2245" i="1" a="1"/>
  <c r="O2217" i="1" a="1"/>
  <c r="O2384" i="1" a="1"/>
  <c r="O2320" i="1" a="1"/>
  <c r="O2354" i="1" a="1"/>
  <c r="O2388" i="1" a="1"/>
  <c r="O2397" i="1" a="1"/>
  <c r="O2333" i="1" a="1"/>
  <c r="O2344" i="1" a="1"/>
  <c r="O2280" i="1" a="1"/>
  <c r="O2289" i="1" a="1"/>
  <c r="O2196" i="1" a="1"/>
  <c r="O2132" i="1" a="1"/>
  <c r="O2281" i="1" a="1"/>
  <c r="O2175" i="1" a="1"/>
  <c r="O2111" i="1" a="1"/>
  <c r="O2095" i="1" a="1"/>
  <c r="O2283" i="1" a="1"/>
  <c r="O2200" i="1" a="1"/>
  <c r="O2231" i="1" a="1"/>
  <c r="O2247" i="1" a="1"/>
  <c r="O2301" i="1" a="1"/>
  <c r="O2279" i="1" a="1"/>
  <c r="O2201" i="1" a="1"/>
  <c r="O2137" i="1" a="1"/>
  <c r="O2246" i="1" a="1"/>
  <c r="O2142" i="1" a="1"/>
  <c r="O2066" i="1" a="1"/>
  <c r="O2002" i="1" a="1"/>
  <c r="O1938" i="1" a="1"/>
  <c r="O1874" i="1" a="1"/>
  <c r="O1817" i="1" a="1"/>
  <c r="O1801" i="1" a="1"/>
  <c r="O1785" i="1" a="1"/>
  <c r="O1769" i="1" a="1"/>
  <c r="O2147" i="1" a="1"/>
  <c r="O2052" i="1" a="1"/>
  <c r="O1988" i="1" a="1"/>
  <c r="O1924" i="1" a="1"/>
  <c r="O1860" i="1" a="1"/>
  <c r="O2163" i="1" a="1"/>
  <c r="O2079" i="1" a="1"/>
  <c r="O2015" i="1" a="1"/>
  <c r="O1951" i="1" a="1"/>
  <c r="O1887" i="1" a="1"/>
  <c r="O1823" i="1" a="1"/>
  <c r="O2114" i="1" a="1"/>
  <c r="O2033" i="1" a="1"/>
  <c r="O1969" i="1" a="1"/>
  <c r="O2098" i="1" a="1"/>
  <c r="O2035" i="1" a="1"/>
  <c r="O1971" i="1" a="1"/>
  <c r="O2181" i="1" a="1"/>
  <c r="O2060" i="1" a="1"/>
  <c r="O1996" i="1" a="1"/>
  <c r="O2108" i="1" a="1"/>
  <c r="O2046" i="1" a="1"/>
  <c r="O1982" i="1" a="1"/>
  <c r="O2156" i="1" a="1"/>
  <c r="O2057" i="1" a="1"/>
  <c r="O1993" i="1" a="1"/>
  <c r="O1929" i="1" a="1"/>
  <c r="O1865" i="1" a="1"/>
  <c r="O1934" i="1" a="1"/>
  <c r="O1812" i="1" a="1"/>
  <c r="O1943" i="1" a="1"/>
  <c r="O1918" i="1" a="1"/>
  <c r="O1831" i="1" a="1"/>
  <c r="O1766" i="1" a="1"/>
  <c r="O1923" i="1" a="1"/>
  <c r="O1896" i="1" a="1"/>
  <c r="O1848" i="1" a="1"/>
  <c r="O1726" i="1" a="1"/>
  <c r="O1662" i="1" a="1"/>
  <c r="O1882" i="1" a="1"/>
  <c r="O1721" i="1" a="1"/>
  <c r="O1657" i="1" a="1"/>
  <c r="O1786" i="1" a="1"/>
  <c r="O1714" i="1" a="1"/>
  <c r="O1650" i="1" a="1"/>
  <c r="O1810" i="1" a="1"/>
  <c r="O1902" i="1" a="1"/>
  <c r="O1870" i="1" a="1"/>
  <c r="O1729" i="1" a="1"/>
  <c r="O1778" i="1" a="1"/>
  <c r="O1701" i="1" a="1"/>
  <c r="O1637" i="1" a="1"/>
  <c r="O1602" i="1" a="1"/>
  <c r="O1713" i="1" a="1"/>
  <c r="O1603" i="1" a="1"/>
  <c r="O1539" i="1" a="1"/>
  <c r="O1475" i="1" a="1"/>
  <c r="O1411" i="1" a="1"/>
  <c r="O1347" i="1" a="1"/>
  <c r="O1319" i="1" a="1"/>
  <c r="O1704" i="1" a="1"/>
  <c r="O1564" i="1" a="1"/>
  <c r="O2387" i="1" a="1"/>
  <c r="O2380" i="1" a="1"/>
  <c r="O2316" i="1" a="1"/>
  <c r="O2252" i="1" a="1"/>
  <c r="O2357" i="1" a="1"/>
  <c r="O2293" i="1" a="1"/>
  <c r="O2229" i="1" a="1"/>
  <c r="O2213" i="1" a="1"/>
  <c r="O2368" i="1" a="1"/>
  <c r="O2304" i="1" a="1"/>
  <c r="O2338" i="1" a="1"/>
  <c r="O2372" i="1" a="1"/>
  <c r="O2381" i="1" a="1"/>
  <c r="O2392" i="1" a="1"/>
  <c r="O2328" i="1" a="1"/>
  <c r="O2264" i="1" a="1"/>
  <c r="O2262" i="1" a="1"/>
  <c r="O2180" i="1" a="1"/>
  <c r="O2116" i="1" a="1"/>
  <c r="O2267" i="1" a="1"/>
  <c r="O2159" i="1" a="1"/>
  <c r="O2107" i="1" a="1"/>
  <c r="O2091" i="1" a="1"/>
  <c r="O2253" i="1" a="1"/>
  <c r="O2337" i="1" a="1"/>
  <c r="O2330" i="1" a="1"/>
  <c r="O2228" i="1" a="1"/>
  <c r="O2282" i="1" a="1"/>
  <c r="O2257" i="1" a="1"/>
  <c r="O2185" i="1" a="1"/>
  <c r="O2121" i="1" a="1"/>
  <c r="O2203" i="1" a="1"/>
  <c r="O2123" i="1" a="1"/>
  <c r="O2050" i="1" a="1"/>
  <c r="O1986" i="1" a="1"/>
  <c r="O1922" i="1" a="1"/>
  <c r="O1858" i="1" a="1"/>
  <c r="O1813" i="1" a="1"/>
  <c r="O1797" i="1" a="1"/>
  <c r="O1781" i="1" a="1"/>
  <c r="O1765" i="1" a="1"/>
  <c r="O2120" i="1" a="1"/>
  <c r="O2036" i="1" a="1"/>
  <c r="O1972" i="1" a="1"/>
  <c r="O1908" i="1" a="1"/>
  <c r="O1844" i="1" a="1"/>
  <c r="O2136" i="1" a="1"/>
  <c r="O2063" i="1" a="1"/>
  <c r="O1999" i="1" a="1"/>
  <c r="O1935" i="1" a="1"/>
  <c r="O1871" i="1" a="1"/>
  <c r="O2190" i="1" a="1"/>
  <c r="O2081" i="1" a="1"/>
  <c r="O2017" i="1" a="1"/>
  <c r="O2168" i="1" a="1"/>
  <c r="O2083" i="1" a="1"/>
  <c r="O2019" i="1" a="1"/>
  <c r="O1955" i="1" a="1"/>
  <c r="O2138" i="1" a="1"/>
  <c r="O2044" i="1" a="1"/>
  <c r="O2178" i="1" a="1"/>
  <c r="O2092" i="1" a="1"/>
  <c r="O2030" i="1" a="1"/>
  <c r="O1966" i="1" a="1"/>
  <c r="O2126" i="1" a="1"/>
  <c r="O2041" i="1" a="1"/>
  <c r="O1977" i="1" a="1"/>
  <c r="O1913" i="1" a="1"/>
  <c r="O1849" i="1" a="1"/>
  <c r="O1907" i="1" a="1"/>
  <c r="O1796" i="1" a="1"/>
  <c r="O1889" i="1" a="1"/>
  <c r="O1895" i="1" a="1"/>
  <c r="O1814" i="1" a="1"/>
  <c r="O1980" i="1" a="1"/>
  <c r="O1944" i="1" a="1"/>
  <c r="O1864" i="1" a="1"/>
  <c r="O1802" i="1" a="1"/>
  <c r="O1710" i="1" a="1"/>
  <c r="O1646" i="1" a="1"/>
  <c r="O1838" i="1" a="1"/>
  <c r="O1705" i="1" a="1"/>
  <c r="O1641" i="1" a="1"/>
  <c r="O1759" i="1" a="1"/>
  <c r="O1698" i="1" a="1"/>
  <c r="O1634" i="1" a="1"/>
  <c r="O1748" i="1" a="1"/>
  <c r="O1770" i="1" a="1"/>
  <c r="O1794" i="1" a="1"/>
  <c r="O1800" i="1" a="1"/>
  <c r="O1749" i="1" a="1"/>
  <c r="O1685" i="1" a="1"/>
  <c r="O1621" i="1" a="1"/>
  <c r="O1598" i="1" a="1"/>
  <c r="O1681" i="1" a="1"/>
  <c r="O1587" i="1" a="1"/>
  <c r="O1523" i="1" a="1"/>
  <c r="O1459" i="1" a="1"/>
  <c r="O1395" i="1" a="1"/>
  <c r="O1331" i="1" a="1"/>
  <c r="O1315" i="1" a="1"/>
  <c r="O1672" i="1" a="1"/>
  <c r="O1548" i="1" a="1"/>
  <c r="O1484" i="1" a="1"/>
  <c r="O1420" i="1" a="1"/>
  <c r="O1356" i="1" a="1"/>
  <c r="O1605" i="1" a="1"/>
  <c r="O1543" i="1" a="1"/>
  <c r="O1479" i="1" a="1"/>
  <c r="O1415" i="1" a="1"/>
  <c r="O1351" i="1" a="1"/>
  <c r="O1654" i="1" a="1"/>
  <c r="O1561" i="1" a="1"/>
  <c r="O1497" i="1" a="1"/>
  <c r="O1718" i="1" a="1"/>
  <c r="O1599" i="1" a="1"/>
  <c r="O1538" i="1" a="1"/>
  <c r="O1474" i="1" a="1"/>
  <c r="O1647" i="1" a="1"/>
  <c r="O1540" i="1" a="1"/>
  <c r="O1476" i="1" a="1"/>
  <c r="O1601" i="1" a="1"/>
  <c r="O1535" i="1" a="1"/>
  <c r="O1471" i="1" a="1"/>
  <c r="O1667" i="1" a="1"/>
  <c r="O1560" i="1" a="1"/>
  <c r="O1496" i="1" a="1"/>
  <c r="O1432" i="1" a="1"/>
  <c r="O2371" i="1" a="1"/>
  <c r="O2348" i="1" a="1"/>
  <c r="O2389" i="1" a="1"/>
  <c r="O2261" i="1" a="1"/>
  <c r="O2205" i="1" a="1"/>
  <c r="O2370" i="1" a="1"/>
  <c r="O2340" i="1" a="1"/>
  <c r="O2360" i="1" a="1"/>
  <c r="O2232" i="1" a="1"/>
  <c r="O2148" i="1" a="1"/>
  <c r="O2191" i="1" a="1"/>
  <c r="O2099" i="1" a="1"/>
  <c r="O2218" i="1" a="1"/>
  <c r="O2274" i="1" a="1"/>
  <c r="O2394" i="1" a="1"/>
  <c r="O2153" i="1" a="1"/>
  <c r="O2172" i="1" a="1"/>
  <c r="O2018" i="1" a="1"/>
  <c r="O1890" i="1" a="1"/>
  <c r="O1805" i="1" a="1"/>
  <c r="O1773" i="1" a="1"/>
  <c r="O2068" i="1" a="1"/>
  <c r="O1940" i="1" a="1"/>
  <c r="O2199" i="1" a="1"/>
  <c r="O2031" i="1" a="1"/>
  <c r="O1903" i="1" a="1"/>
  <c r="O2149" i="1" a="1"/>
  <c r="O1985" i="1" a="1"/>
  <c r="O2051" i="1" a="1"/>
  <c r="O2195" i="1" a="1"/>
  <c r="O2012" i="1" a="1"/>
  <c r="O2062" i="1" a="1"/>
  <c r="O2170" i="1" a="1"/>
  <c r="O2009" i="1" a="1"/>
  <c r="O1881" i="1" a="1"/>
  <c r="O1843" i="1" a="1"/>
  <c r="O1973" i="1" a="1"/>
  <c r="O1782" i="1" a="1"/>
  <c r="O1928" i="1" a="1"/>
  <c r="O1742" i="1" a="1"/>
  <c r="O1614" i="1" a="1"/>
  <c r="O1673" i="1" a="1"/>
  <c r="O1730" i="1" a="1"/>
  <c r="O1850" i="1" a="1"/>
  <c r="O1727" i="1" a="1"/>
  <c r="O1836" i="1" a="1"/>
  <c r="O1653" i="1" a="1"/>
  <c r="O1590" i="1" a="1"/>
  <c r="O1555" i="1" a="1"/>
  <c r="O1427" i="1" a="1"/>
  <c r="O1323" i="1" a="1"/>
  <c r="O1580" i="1" a="1"/>
  <c r="O1477" i="1" a="1"/>
  <c r="O1372" i="1" a="1"/>
  <c r="O1575" i="1" a="1"/>
  <c r="O1486" i="1" a="1"/>
  <c r="O1374" i="1" a="1"/>
  <c r="O1651" i="1" a="1"/>
  <c r="O1513" i="1" a="1"/>
  <c r="O1665" i="1" a="1"/>
  <c r="O1547" i="1" a="1"/>
  <c r="O1688" i="1" a="1"/>
  <c r="O1533" i="1" a="1"/>
  <c r="O1629" i="1" a="1"/>
  <c r="O1503" i="1" a="1"/>
  <c r="O1670" i="1" a="1"/>
  <c r="O1521" i="1" a="1"/>
  <c r="O1425" i="1" a="1"/>
  <c r="O1345" i="1" a="1"/>
  <c r="O1382" i="1" a="1"/>
  <c r="O1299" i="1" a="1"/>
  <c r="O1235" i="1" a="1"/>
  <c r="O1171" i="1" a="1"/>
  <c r="O1107" i="1" a="1"/>
  <c r="O1373" i="1" a="1"/>
  <c r="O1260" i="1" a="1"/>
  <c r="O1196" i="1" a="1"/>
  <c r="O1132" i="1" a="1"/>
  <c r="O1080" i="1" a="1"/>
  <c r="O1064" i="1" a="1"/>
  <c r="O1048" i="1" a="1"/>
  <c r="O1032" i="1" a="1"/>
  <c r="O1332" i="1" a="1"/>
  <c r="O1271" i="1" a="1"/>
  <c r="O1207" i="1" a="1"/>
  <c r="O1143" i="1" a="1"/>
  <c r="O1433" i="1" a="1"/>
  <c r="O1273" i="1" a="1"/>
  <c r="O1410" i="1" a="1"/>
  <c r="O1334" i="1" a="1"/>
  <c r="O1266" i="1" a="1"/>
  <c r="O1392" i="1" a="1"/>
  <c r="O1268" i="1" a="1"/>
  <c r="O1348" i="1" a="1"/>
  <c r="O1279" i="1" a="1"/>
  <c r="O1202" i="1" a="1"/>
  <c r="O1104" i="1" a="1"/>
  <c r="O976" i="1" a="1"/>
  <c r="O912" i="1" a="1"/>
  <c r="O848" i="1" a="1"/>
  <c r="O784" i="1" a="1"/>
  <c r="O720" i="1" a="1"/>
  <c r="O656" i="1" a="1"/>
  <c r="O592" i="1" a="1"/>
  <c r="O1188" i="1" a="1"/>
  <c r="O1079" i="1" a="1"/>
  <c r="O1017" i="1" a="1"/>
  <c r="O953" i="1" a="1"/>
  <c r="O889" i="1" a="1"/>
  <c r="O1179" i="1" a="1"/>
  <c r="O1019" i="1" a="1"/>
  <c r="O1304" i="1" a="1"/>
  <c r="O1152" i="1" a="1"/>
  <c r="O1065" i="1" a="1"/>
  <c r="O998" i="1" a="1"/>
  <c r="O1256" i="1" a="1"/>
  <c r="O1138" i="1" a="1"/>
  <c r="O1000" i="1" a="1"/>
  <c r="O1222" i="1" a="1"/>
  <c r="O1105" i="1" a="1"/>
  <c r="O1043" i="1" a="1"/>
  <c r="O977" i="1" a="1"/>
  <c r="O1252" i="1" a="1"/>
  <c r="O1151" i="1" a="1"/>
  <c r="O1011" i="1" a="1"/>
  <c r="O947" i="1" a="1"/>
  <c r="O883" i="1" a="1"/>
  <c r="O819" i="1" a="1"/>
  <c r="O2339" i="1" a="1"/>
  <c r="O2382" i="1" a="1"/>
  <c r="O2254" i="1" a="1"/>
  <c r="O2391" i="1" a="1"/>
  <c r="O2361" i="1" a="1"/>
  <c r="O2399" i="1" a="1"/>
  <c r="O2351" i="1" a="1"/>
  <c r="O2353" i="1" a="1"/>
  <c r="O2141" i="1" a="1"/>
  <c r="O2182" i="1" a="1"/>
  <c r="O2097" i="1" a="1"/>
  <c r="O2210" i="1" a="1"/>
  <c r="O2266" i="1" a="1"/>
  <c r="O2298" i="1" a="1"/>
  <c r="O2144" i="1" a="1"/>
  <c r="O2161" i="1" a="1"/>
  <c r="O2011" i="1" a="1"/>
  <c r="O1883" i="1" a="1"/>
  <c r="O1803" i="1" a="1"/>
  <c r="O1771" i="1" a="1"/>
  <c r="O2061" i="1" a="1"/>
  <c r="O1933" i="1" a="1"/>
  <c r="O2174" i="1" a="1"/>
  <c r="O2022" i="1" a="1"/>
  <c r="O1894" i="1" a="1"/>
  <c r="O2130" i="1" a="1"/>
  <c r="O1976" i="1" a="1"/>
  <c r="O2042" i="1" a="1"/>
  <c r="O2184" i="1" a="1"/>
  <c r="O2005" i="1" a="1"/>
  <c r="O2055" i="1" a="1"/>
  <c r="O2167" i="1" a="1"/>
  <c r="O2000" i="1" a="1"/>
  <c r="O1872" i="1" a="1"/>
  <c r="O1820" i="1" a="1"/>
  <c r="O1927" i="1" a="1"/>
  <c r="O1774" i="1" a="1"/>
  <c r="O1925" i="1" a="1"/>
  <c r="O1735" i="1" a="1"/>
  <c r="O1900" i="1" a="1"/>
  <c r="O1664" i="1" a="1"/>
  <c r="O1723" i="1" a="1"/>
  <c r="O1847" i="1" a="1"/>
  <c r="O1873" i="1" a="1"/>
  <c r="O1818" i="1" a="1"/>
  <c r="O1644" i="1" a="1"/>
  <c r="O1588" i="1" a="1"/>
  <c r="O1546" i="1" a="1"/>
  <c r="O1418" i="1" a="1"/>
  <c r="O1321" i="1" a="1"/>
  <c r="O1573" i="1" a="1"/>
  <c r="O1452" i="1" a="1"/>
  <c r="O1365" i="1" a="1"/>
  <c r="O1566" i="1" a="1"/>
  <c r="O1470" i="1" a="1"/>
  <c r="O1367" i="1" a="1"/>
  <c r="O1619" i="1" a="1"/>
  <c r="O1504" i="1" a="1"/>
  <c r="O1636" i="1" a="1"/>
  <c r="O1531" i="1" a="1"/>
  <c r="O1679" i="1" a="1"/>
  <c r="O1508" i="1" a="1"/>
  <c r="O1609" i="1" a="1"/>
  <c r="O1494" i="1" a="1"/>
  <c r="O1658" i="1" a="1"/>
  <c r="O1512" i="1" a="1"/>
  <c r="O1400" i="1" a="1"/>
  <c r="O1336" i="1" a="1"/>
  <c r="O1362" i="1" a="1"/>
  <c r="O1290" i="1" a="1"/>
  <c r="O1226" i="1" a="1"/>
  <c r="O1162" i="1" a="1"/>
  <c r="O1098" i="1" a="1"/>
  <c r="O1344" i="1" a="1"/>
  <c r="O1253" i="1" a="1"/>
  <c r="O1189" i="1" a="1"/>
  <c r="O1125" i="1" a="1"/>
  <c r="O1078" i="1" a="1"/>
  <c r="O1062" i="1" a="1"/>
  <c r="O1046" i="1" a="1"/>
  <c r="O1030" i="1" a="1"/>
  <c r="O1324" i="1" a="1"/>
  <c r="O1262" i="1" a="1"/>
  <c r="O1198" i="1" a="1"/>
  <c r="O1134" i="1" a="1"/>
  <c r="O1401" i="1" a="1"/>
  <c r="O1264" i="1" a="1"/>
  <c r="O1407" i="1" a="1"/>
  <c r="O1326" i="1" a="1"/>
  <c r="O1259" i="1" a="1"/>
  <c r="O1389" i="1" a="1"/>
  <c r="O1261" i="1" a="1"/>
  <c r="O1339" i="1" a="1"/>
  <c r="O1270" i="1" a="1"/>
  <c r="O1183" i="1" a="1"/>
  <c r="O1101" i="1" a="1"/>
  <c r="O967" i="1" a="1"/>
  <c r="O903" i="1" a="1"/>
  <c r="O839" i="1" a="1"/>
  <c r="O775" i="1" a="1"/>
  <c r="O711" i="1" a="1"/>
  <c r="O647" i="1" a="1"/>
  <c r="O1272" i="1" a="1"/>
  <c r="O1169" i="1" a="1"/>
  <c r="O1071" i="1" a="1"/>
  <c r="O1010" i="1" a="1"/>
  <c r="O946" i="1" a="1"/>
  <c r="O882" i="1" a="1"/>
  <c r="O1174" i="1" a="1"/>
  <c r="O1012" i="1" a="1"/>
  <c r="O1240" i="1" a="1"/>
  <c r="O1149" i="1" a="1"/>
  <c r="O1057" i="1" a="1"/>
  <c r="O989" i="1" a="1"/>
  <c r="O1231" i="1" a="1"/>
  <c r="O1119" i="1" a="1"/>
  <c r="O991" i="1" a="1"/>
  <c r="O1192" i="1" a="1"/>
  <c r="O1099" i="1" a="1"/>
  <c r="O1035" i="1" a="1"/>
  <c r="O970" i="1" a="1"/>
  <c r="O1245" i="1" a="1"/>
  <c r="O1145" i="1" a="1"/>
  <c r="O1004" i="1" a="1"/>
  <c r="O940" i="1" a="1"/>
  <c r="O876" i="1" a="1"/>
  <c r="O812" i="1" a="1"/>
  <c r="O2323" i="1" a="1"/>
  <c r="O2366" i="1" a="1"/>
  <c r="O2238" i="1" a="1"/>
  <c r="O2375" i="1" a="1"/>
  <c r="O2345" i="1" a="1"/>
  <c r="O2390" i="1" a="1"/>
  <c r="O2335" i="1" a="1"/>
  <c r="O2265" i="1" a="1"/>
  <c r="O2125" i="1" a="1"/>
  <c r="O2166" i="1" a="1"/>
  <c r="O2093" i="1" a="1"/>
  <c r="O2193" i="1" a="1"/>
  <c r="O2244" i="1" a="1"/>
  <c r="O2276" i="1" a="1"/>
  <c r="O2128" i="1" a="1"/>
  <c r="O2131" i="1" a="1"/>
  <c r="O1995" i="1" a="1"/>
  <c r="O1867" i="1" a="1"/>
  <c r="O1799" i="1" a="1"/>
  <c r="O1767" i="1" a="1"/>
  <c r="O2045" i="1" a="1"/>
  <c r="O1917" i="1" a="1"/>
  <c r="O2155" i="1" a="1"/>
  <c r="O2006" i="1" a="1"/>
  <c r="O1878" i="1" a="1"/>
  <c r="O2088" i="1" a="1"/>
  <c r="O2187" i="1" a="1"/>
  <c r="O2026" i="1" a="1"/>
  <c r="O2162" i="1" a="1"/>
  <c r="O1989" i="1" a="1"/>
  <c r="O2039" i="1" a="1"/>
  <c r="O2145" i="1" a="1"/>
  <c r="O1984" i="1" a="1"/>
  <c r="O1856" i="1" a="1"/>
  <c r="O1804" i="1" a="1"/>
  <c r="O1898" i="1" a="1"/>
  <c r="O1756" i="1" a="1"/>
  <c r="O1893" i="1" a="1"/>
  <c r="O1719" i="1" a="1"/>
  <c r="O1841" i="1" a="1"/>
  <c r="O1648" i="1" a="1"/>
  <c r="O1707" i="1" a="1"/>
  <c r="O1792" i="1" a="1"/>
  <c r="O1816" i="1" a="1"/>
  <c r="O1760" i="1" a="1"/>
  <c r="O1628" i="1" a="1"/>
  <c r="O1684" i="1" a="1"/>
  <c r="O1530" i="1" a="1"/>
  <c r="O1402" i="1" a="1"/>
  <c r="O1317" i="1" a="1"/>
  <c r="O1557" i="1" a="1"/>
  <c r="O1445" i="1" a="1"/>
  <c r="O1349" i="1" a="1"/>
  <c r="O1559" i="1" a="1"/>
  <c r="O1447" i="1" a="1"/>
  <c r="O1358" i="1" a="1"/>
  <c r="O1584" i="1" a="1"/>
  <c r="O1488" i="1" a="1"/>
  <c r="O1633" i="1" a="1"/>
  <c r="O1506" i="1" a="1"/>
  <c r="O1656" i="1" a="1"/>
  <c r="O1501" i="1" a="1"/>
  <c r="O1593" i="1" a="1"/>
  <c r="O1487" i="1" a="1"/>
  <c r="O1626" i="1" a="1"/>
  <c r="O1505" i="1" a="1"/>
  <c r="O1393" i="1" a="1"/>
  <c r="O1446" i="1" a="1"/>
  <c r="O1359" i="1" a="1"/>
  <c r="O1283" i="1" a="1"/>
  <c r="O1219" i="1" a="1"/>
  <c r="O1155" i="1" a="1"/>
  <c r="O1091" i="1" a="1"/>
  <c r="O1341" i="1" a="1"/>
  <c r="O1244" i="1" a="1"/>
  <c r="O1180" i="1" a="1"/>
  <c r="O1116" i="1" a="1"/>
  <c r="O1076" i="1" a="1"/>
  <c r="O1060" i="1" a="1"/>
  <c r="O1044" i="1" a="1"/>
  <c r="O1428" i="1" a="1"/>
  <c r="O1316" i="1" a="1"/>
  <c r="O1255" i="1" a="1"/>
  <c r="O1191" i="1" a="1"/>
  <c r="O1127" i="1" a="1"/>
  <c r="O1369" i="1" a="1"/>
  <c r="O1257" i="1" a="1"/>
  <c r="O1398" i="1" a="1"/>
  <c r="O1318" i="1" a="1"/>
  <c r="O1250" i="1" a="1"/>
  <c r="O1360" i="1" a="1"/>
  <c r="O1444" i="1" a="1"/>
  <c r="O1328" i="1" a="1"/>
  <c r="O1263" i="1" a="1"/>
  <c r="O1177" i="1" a="1"/>
  <c r="O1024" i="1" a="1"/>
  <c r="O960" i="1" a="1"/>
  <c r="O896" i="1" a="1"/>
  <c r="O832" i="1" a="1"/>
  <c r="O768" i="1" a="1"/>
  <c r="O704" i="1" a="1"/>
  <c r="O640" i="1" a="1"/>
  <c r="O1238" i="1" a="1"/>
  <c r="O1163" i="1" a="1"/>
  <c r="O1063" i="1" a="1"/>
  <c r="O1001" i="1" a="1"/>
  <c r="O937" i="1" a="1"/>
  <c r="O873" i="1" a="1"/>
  <c r="O1144" i="1" a="1"/>
  <c r="O1003" i="1" a="1"/>
  <c r="O1225" i="1" a="1"/>
  <c r="O1122" i="1" a="1"/>
  <c r="O1049" i="1" a="1"/>
  <c r="O982" i="1" a="1"/>
  <c r="O1217" i="1" a="1"/>
  <c r="O1113" i="1" a="1"/>
  <c r="O984" i="1" a="1"/>
  <c r="O1184" i="1" a="1"/>
  <c r="O1094" i="1" a="1"/>
  <c r="O1025" i="1" a="1"/>
  <c r="O961" i="1" a="1"/>
  <c r="O1236" i="1" a="1"/>
  <c r="O1140" i="1" a="1"/>
  <c r="O995" i="1" a="1"/>
  <c r="O931" i="1" a="1"/>
  <c r="O867" i="1" a="1"/>
  <c r="O803" i="1" a="1"/>
  <c r="O2307" i="1" a="1"/>
  <c r="O2350" i="1" a="1"/>
  <c r="O2227" i="1" a="1"/>
  <c r="O2359" i="1" a="1"/>
  <c r="O2329" i="1" a="1"/>
  <c r="O2374" i="1" a="1"/>
  <c r="O2319" i="1" a="1"/>
  <c r="O2251" i="1" a="1"/>
  <c r="O2378" i="1" a="1"/>
  <c r="O2150" i="1" a="1"/>
  <c r="O2385" i="1" a="1"/>
  <c r="O2299" i="1" a="1"/>
  <c r="O2220" i="1" a="1"/>
  <c r="O2233" i="1" a="1"/>
  <c r="O2346" i="1" a="1"/>
  <c r="O2110" i="1" a="1"/>
  <c r="O1979" i="1" a="1"/>
  <c r="O1851" i="1" a="1"/>
  <c r="O1795" i="1" a="1"/>
  <c r="O1763" i="1" a="1"/>
  <c r="O2029" i="1" a="1"/>
  <c r="O1901" i="1" a="1"/>
  <c r="O2133" i="1" a="1"/>
  <c r="O1990" i="1" a="1"/>
  <c r="O1862" i="1" a="1"/>
  <c r="O2072" i="1" a="1"/>
  <c r="O2165" i="1" a="1"/>
  <c r="O2010" i="1" a="1"/>
  <c r="O2135" i="1" a="1"/>
  <c r="O2154" i="1" a="1"/>
  <c r="O2023" i="1" a="1"/>
  <c r="O2115" i="1" a="1"/>
  <c r="O1968" i="1" a="1"/>
  <c r="O1840" i="1" a="1"/>
  <c r="O1788" i="1" a="1"/>
  <c r="O1886" i="1" a="1"/>
  <c r="O1912" i="1" a="1"/>
  <c r="O1861" i="1" a="1"/>
  <c r="O1703" i="1" a="1"/>
  <c r="O1808" i="1" a="1"/>
  <c r="O1632" i="1" a="1"/>
  <c r="O1691" i="1" a="1"/>
  <c r="O1741" i="1" a="1"/>
  <c r="O1776" i="1" a="1"/>
  <c r="O1740" i="1" a="1"/>
  <c r="O1612" i="1" a="1"/>
  <c r="O1652" i="1" a="1"/>
  <c r="O1514" i="1" a="1"/>
  <c r="O1386" i="1" a="1"/>
  <c r="O1313" i="1" a="1"/>
  <c r="O1541" i="1" a="1"/>
  <c r="O1436" i="1" a="1"/>
  <c r="O1709" i="1" a="1"/>
  <c r="O2284" i="1" a="1"/>
  <c r="O2221" i="1" a="1"/>
  <c r="O2306" i="1" a="1"/>
  <c r="O2296" i="1" a="1"/>
  <c r="O2321" i="1" a="1"/>
  <c r="O2297" i="1" a="1"/>
  <c r="O2369" i="1" a="1"/>
  <c r="O2273" i="1" a="1"/>
  <c r="O1954" i="1" a="1"/>
  <c r="O1789" i="1" a="1"/>
  <c r="O2004" i="1" a="1"/>
  <c r="O2096" i="1" a="1"/>
  <c r="O1839" i="1" a="1"/>
  <c r="O2119" i="1" a="1"/>
  <c r="O2076" i="1" a="1"/>
  <c r="O1998" i="1" a="1"/>
  <c r="O1945" i="1" a="1"/>
  <c r="O1764" i="1" a="1"/>
  <c r="O1877" i="1" a="1"/>
  <c r="O1678" i="1" a="1"/>
  <c r="O1932" i="1" a="1"/>
  <c r="O1716" i="1" a="1"/>
  <c r="O1717" i="1" a="1"/>
  <c r="O1617" i="1" a="1"/>
  <c r="O1363" i="1" a="1"/>
  <c r="O1516" i="1" a="1"/>
  <c r="O1677" i="1" a="1"/>
  <c r="O1495" i="1" a="1"/>
  <c r="O1686" i="1" a="1"/>
  <c r="O1465" i="1" a="1"/>
  <c r="O1563" i="1" a="1"/>
  <c r="O1572" i="1" a="1"/>
  <c r="O1661" i="1" a="1"/>
  <c r="O1702" i="1" a="1"/>
  <c r="O1489" i="1" a="1"/>
  <c r="O1361" i="1" a="1"/>
  <c r="O1330" i="1" a="1"/>
  <c r="O1242" i="1" a="1"/>
  <c r="O1130" i="1" a="1"/>
  <c r="O1301" i="1" a="1"/>
  <c r="O1212" i="1" a="1"/>
  <c r="O1100" i="1" a="1"/>
  <c r="O1066" i="1" a="1"/>
  <c r="O1038" i="1" a="1"/>
  <c r="O1308" i="1" a="1"/>
  <c r="O1223" i="1" a="1"/>
  <c r="O1111" i="1" a="1"/>
  <c r="O1280" i="1" a="1"/>
  <c r="O1366" i="1" a="1"/>
  <c r="O1243" i="1" a="1"/>
  <c r="O1284" i="1" a="1"/>
  <c r="O1312" i="1" a="1"/>
  <c r="O1265" i="1" a="1"/>
  <c r="O999" i="1" a="1"/>
  <c r="O887" i="1" a="1"/>
  <c r="O800" i="1" a="1"/>
  <c r="O688" i="1" a="1"/>
  <c r="O599" i="1" a="1"/>
  <c r="O1120" i="1" a="1"/>
  <c r="O994" i="1" a="1"/>
  <c r="O905" i="1" a="1"/>
  <c r="O1133" i="1" a="1"/>
  <c r="O1353" i="1" a="1"/>
  <c r="O1092" i="1" a="1"/>
  <c r="O973" i="1" a="1"/>
  <c r="O1168" i="1" a="1"/>
  <c r="O968" i="1" a="1"/>
  <c r="O1124" i="1" a="1"/>
  <c r="O1002" i="1" a="1"/>
  <c r="O1233" i="1" a="1"/>
  <c r="O1027" i="1" a="1"/>
  <c r="O915" i="1" a="1"/>
  <c r="O828" i="1" a="1"/>
  <c r="O739" i="1" a="1"/>
  <c r="O675" i="1" a="1"/>
  <c r="O1045" i="1" a="1"/>
  <c r="O2275" i="1" a="1"/>
  <c r="O2219" i="1" a="1"/>
  <c r="O2395" i="1" a="1"/>
  <c r="O2287" i="1" a="1"/>
  <c r="O2315" i="1" a="1"/>
  <c r="O2294" i="1" a="1"/>
  <c r="O2310" i="1" a="1"/>
  <c r="O2249" i="1" a="1"/>
  <c r="O1947" i="1" a="1"/>
  <c r="O1787" i="1" a="1"/>
  <c r="O1997" i="1" a="1"/>
  <c r="O2086" i="1" a="1"/>
  <c r="O1830" i="1" a="1"/>
  <c r="O2106" i="1" a="1"/>
  <c r="O2069" i="1" a="1"/>
  <c r="O1991" i="1" a="1"/>
  <c r="O1936" i="1" a="1"/>
  <c r="O1752" i="1" a="1"/>
  <c r="O1948" i="1" a="1"/>
  <c r="O1671" i="1" a="1"/>
  <c r="O1827" i="1" a="1"/>
  <c r="O1905" i="1" a="1"/>
  <c r="O1708" i="1" a="1"/>
  <c r="O1611" i="1" a="1"/>
  <c r="O1354" i="1" a="1"/>
  <c r="O1509" i="1" a="1"/>
  <c r="O1645" i="1" a="1"/>
  <c r="O1438" i="1" a="1"/>
  <c r="O1683" i="1" a="1"/>
  <c r="O1456" i="1" a="1"/>
  <c r="O1554" i="1" a="1"/>
  <c r="O1565" i="1" a="1"/>
  <c r="O1567" i="1" a="1"/>
  <c r="O1699" i="1" a="1"/>
  <c r="O1464" i="1" a="1"/>
  <c r="O1352" i="1" a="1"/>
  <c r="O1322" i="1" a="1"/>
  <c r="O1210" i="1" a="1"/>
  <c r="O1123" i="1" a="1"/>
  <c r="O1292" i="1" a="1"/>
  <c r="O1205" i="1" a="1"/>
  <c r="O1093" i="1" a="1"/>
  <c r="O1058" i="1" a="1"/>
  <c r="O1036" i="1" a="1"/>
  <c r="O1303" i="1" a="1"/>
  <c r="O1214" i="1" a="1"/>
  <c r="O1102" i="1" a="1"/>
  <c r="O1248" i="1" a="1"/>
  <c r="O1346" i="1" a="1"/>
  <c r="O1234" i="1" a="1"/>
  <c r="O1277" i="1" a="1"/>
  <c r="O1302" i="1" a="1"/>
  <c r="O1172" i="1" a="1"/>
  <c r="O992" i="1" a="1"/>
  <c r="O880" i="1" a="1"/>
  <c r="O791" i="1" a="1"/>
  <c r="O679" i="1" a="1"/>
  <c r="O1232" i="1" a="1"/>
  <c r="O1117" i="1" a="1"/>
  <c r="O985" i="1" a="1"/>
  <c r="O898" i="1" a="1"/>
  <c r="O1106" i="1" a="1"/>
  <c r="O1220" i="1" a="1"/>
  <c r="O1081" i="1" a="1"/>
  <c r="O966" i="1" a="1"/>
  <c r="O1165" i="1" a="1"/>
  <c r="O959" i="1" a="1"/>
  <c r="O1083" i="1" a="1"/>
  <c r="O993" i="1" a="1"/>
  <c r="O1208" i="1" a="1"/>
  <c r="O1020" i="1" a="1"/>
  <c r="O908" i="1" a="1"/>
  <c r="O796" i="1" a="1"/>
  <c r="O732" i="1" a="1"/>
  <c r="O668" i="1" a="1"/>
  <c r="O997" i="1" a="1"/>
  <c r="O849" i="1" a="1"/>
  <c r="O772" i="1" a="1"/>
  <c r="O703" i="1" a="1"/>
  <c r="O634" i="1" a="1"/>
  <c r="O571" i="1" a="1"/>
  <c r="O507" i="1" a="1"/>
  <c r="O474" i="1" a="1"/>
  <c r="O458" i="1" a="1"/>
  <c r="O442" i="1" a="1"/>
  <c r="O426" i="1" a="1"/>
  <c r="O410" i="1" a="1"/>
  <c r="O394" i="1" a="1"/>
  <c r="O378" i="1" a="1"/>
  <c r="O362" i="1" a="1"/>
  <c r="O346" i="1" a="1"/>
  <c r="O330" i="1" a="1"/>
  <c r="O314" i="1" a="1"/>
  <c r="O910" i="1" a="1"/>
  <c r="O805" i="1" a="1"/>
  <c r="O713" i="1" a="1"/>
  <c r="O601" i="1" a="1"/>
  <c r="O1131" i="1" a="1"/>
  <c r="O866" i="1" a="1"/>
  <c r="O792" i="1" a="1"/>
  <c r="O710" i="1" a="1"/>
  <c r="O641" i="1" a="1"/>
  <c r="O1096" i="1" a="1"/>
  <c r="O861" i="1" a="1"/>
  <c r="O766" i="1" a="1"/>
  <c r="O661" i="1" a="1"/>
  <c r="O570" i="1" a="1"/>
  <c r="O917" i="1" a="1"/>
  <c r="O840" i="1" a="1"/>
  <c r="O758" i="1" a="1"/>
  <c r="O689" i="1" a="1"/>
  <c r="O612" i="1" a="1"/>
  <c r="O1013" i="1" a="1"/>
  <c r="O837" i="1" a="1"/>
  <c r="O745" i="1" a="1"/>
  <c r="O635" i="1" a="1"/>
  <c r="O565" i="1" a="1"/>
  <c r="O501" i="1" a="1"/>
  <c r="O925" i="1" a="1"/>
  <c r="O847" i="1" a="1"/>
  <c r="O778" i="1" a="1"/>
  <c r="O706" i="1" a="1"/>
  <c r="O632" i="1" a="1"/>
  <c r="O551" i="1" a="1"/>
  <c r="O487" i="1" a="1"/>
  <c r="O939" i="1" a="1"/>
  <c r="O857" i="1" a="1"/>
  <c r="O2259" i="1" a="1"/>
  <c r="O2215" i="1" a="1"/>
  <c r="O2379" i="1" a="1"/>
  <c r="O2271" i="1" a="1"/>
  <c r="O2278" i="1" a="1"/>
  <c r="O2272" i="1" a="1"/>
  <c r="O2290" i="1" a="1"/>
  <c r="O2235" i="1" a="1"/>
  <c r="O1931" i="1" a="1"/>
  <c r="O1783" i="1" a="1"/>
  <c r="O1981" i="1" a="1"/>
  <c r="O2070" i="1" a="1"/>
  <c r="O2202" i="1" a="1"/>
  <c r="O2090" i="1" a="1"/>
  <c r="O2053" i="1" a="1"/>
  <c r="O1975" i="1" a="1"/>
  <c r="O1920" i="1" a="1"/>
  <c r="O1921" i="1" a="1"/>
  <c r="O1964" i="1" a="1"/>
  <c r="O1655" i="1" a="1"/>
  <c r="O1768" i="1" a="1"/>
  <c r="O1891" i="1" a="1"/>
  <c r="O1692" i="1" a="1"/>
  <c r="O1595" i="1" a="1"/>
  <c r="O1338" i="1" a="1"/>
  <c r="O1500" i="1" a="1"/>
  <c r="O1613" i="1" a="1"/>
  <c r="O1431" i="1" a="1"/>
  <c r="O1674" i="1" a="1"/>
  <c r="O1449" i="1" a="1"/>
  <c r="O1499" i="1" a="1"/>
  <c r="O1556" i="1" a="1"/>
  <c r="O1558" i="1" a="1"/>
  <c r="O1690" i="1" a="1"/>
  <c r="O1457" i="1" a="1"/>
  <c r="O1426" i="1" a="1"/>
  <c r="O1314" i="1" a="1"/>
  <c r="O1203" i="1" a="1"/>
  <c r="O1114" i="1" a="1"/>
  <c r="O1285" i="1" a="1"/>
  <c r="O1173" i="1" a="1"/>
  <c r="O1084" i="1" a="1"/>
  <c r="O1056" i="1" a="1"/>
  <c r="O1034" i="1" a="1"/>
  <c r="O1294" i="1" a="1"/>
  <c r="O1182" i="1" a="1"/>
  <c r="O1095" i="1" a="1"/>
  <c r="O1241" i="1" a="1"/>
  <c r="O1343" i="1" a="1"/>
  <c r="O1227" i="1" a="1"/>
  <c r="O1435" i="1" a="1"/>
  <c r="O1295" i="1" a="1"/>
  <c r="O1153" i="1" a="1"/>
  <c r="O983" i="1" a="1"/>
  <c r="O871" i="1" a="1"/>
  <c r="O759" i="1" a="1"/>
  <c r="O672" i="1" a="1"/>
  <c r="O1229" i="1" a="1"/>
  <c r="O1090" i="1" a="1"/>
  <c r="O978" i="1" a="1"/>
  <c r="O1297" i="1" a="1"/>
  <c r="O1087" i="1" a="1"/>
  <c r="O1201" i="1" a="1"/>
  <c r="O1073" i="1" a="1"/>
  <c r="O957" i="1" a="1"/>
  <c r="O1108" i="1" a="1"/>
  <c r="O1281" i="1" a="1"/>
  <c r="O1075" i="1" a="1"/>
  <c r="O986" i="1" a="1"/>
  <c r="O1200" i="1" a="1"/>
  <c r="O988" i="1" a="1"/>
  <c r="O899" i="1" a="1"/>
  <c r="O787" i="1" a="1"/>
  <c r="O723" i="1" a="1"/>
  <c r="O659" i="1" a="1"/>
  <c r="O948" i="1" a="1"/>
  <c r="O836" i="1" a="1"/>
  <c r="O767" i="1" a="1"/>
  <c r="O698" i="1" a="1"/>
  <c r="O626" i="1" a="1"/>
  <c r="O564" i="1" a="1"/>
  <c r="O500" i="1" a="1"/>
  <c r="O472" i="1" a="1"/>
  <c r="O456" i="1" a="1"/>
  <c r="O440" i="1" a="1"/>
  <c r="O424" i="1" a="1"/>
  <c r="O408" i="1" a="1"/>
  <c r="O392" i="1" a="1"/>
  <c r="O376" i="1" a="1"/>
  <c r="O360" i="1" a="1"/>
  <c r="O344" i="1" a="1"/>
  <c r="O328" i="1" a="1"/>
  <c r="O312" i="1" a="1"/>
  <c r="O891" i="1" a="1"/>
  <c r="O795" i="1" a="1"/>
  <c r="O685" i="1" a="1"/>
  <c r="O596" i="1" a="1"/>
  <c r="O1029" i="1" a="1"/>
  <c r="O856" i="1" a="1"/>
  <c r="O774" i="1" a="1"/>
  <c r="O705" i="1" a="1"/>
  <c r="O628" i="1" a="1"/>
  <c r="O1085" i="1" a="1"/>
  <c r="O853" i="1" a="1"/>
  <c r="O761" i="1" a="1"/>
  <c r="O651" i="1" a="1"/>
  <c r="O1224" i="1" a="1"/>
  <c r="O893" i="1" a="1"/>
  <c r="O822" i="1" a="1"/>
  <c r="O753" i="1" a="1"/>
  <c r="O676" i="1" a="1"/>
  <c r="O1216" i="1" a="1"/>
  <c r="O952" i="1" a="1"/>
  <c r="O827" i="1" a="1"/>
  <c r="O717" i="1" a="1"/>
  <c r="O622" i="1" a="1"/>
  <c r="O558" i="1" a="1"/>
  <c r="O494" i="1" a="1"/>
  <c r="O922" i="1" a="1"/>
  <c r="O842" i="1" a="1"/>
  <c r="O770" i="1" a="1"/>
  <c r="O696" i="1" a="1"/>
  <c r="O614" i="1" a="1"/>
  <c r="O544" i="1" a="1"/>
  <c r="O546" i="1" a="1"/>
  <c r="O933" i="1" a="1"/>
  <c r="O829" i="1" a="1"/>
  <c r="O2243" i="1" a="1"/>
  <c r="O2211" i="1" a="1"/>
  <c r="O2363" i="1" a="1"/>
  <c r="O2255" i="1" a="1"/>
  <c r="O2256" i="1" a="1"/>
  <c r="O2242" i="1" a="1"/>
  <c r="O2263" i="1" a="1"/>
  <c r="O2194" i="1" a="1"/>
  <c r="O1915" i="1" a="1"/>
  <c r="O1779" i="1" a="1"/>
  <c r="O1965" i="1" a="1"/>
  <c r="O2054" i="1" a="1"/>
  <c r="O2179" i="1" a="1"/>
  <c r="O2074" i="1" a="1"/>
  <c r="O2037" i="1" a="1"/>
  <c r="O1959" i="1" a="1"/>
  <c r="O1904" i="1" a="1"/>
  <c r="O1857" i="1" a="1"/>
  <c r="O1941" i="1" a="1"/>
  <c r="O1639" i="1" a="1"/>
  <c r="O1753" i="1" a="1"/>
  <c r="O1750" i="1" a="1"/>
  <c r="O1676" i="1" a="1"/>
  <c r="O1578" i="1" a="1"/>
  <c r="O1329" i="1" a="1"/>
  <c r="O1493" i="1" a="1"/>
  <c r="O1597" i="1" a="1"/>
  <c r="O1422" i="1" a="1"/>
  <c r="O1577" i="1" a="1"/>
  <c r="O1731" i="1" a="1"/>
  <c r="O1490" i="1" a="1"/>
  <c r="O1549" i="1" a="1"/>
  <c r="O1551" i="1" a="1"/>
  <c r="O1585" i="1" a="1"/>
  <c r="O1448" i="1" a="1"/>
  <c r="O1423" i="1" a="1"/>
  <c r="O1306" i="1" a="1"/>
  <c r="O1194" i="1" a="1"/>
  <c r="O1440" i="1" a="1"/>
  <c r="O1276" i="1" a="1"/>
  <c r="O1164" i="1" a="1"/>
  <c r="O1082" i="1" a="1"/>
  <c r="O1054" i="1" a="1"/>
  <c r="O1419" i="1" a="1"/>
  <c r="O1287" i="1" a="1"/>
  <c r="O1175" i="1" a="1"/>
  <c r="O1086" i="1" a="1"/>
  <c r="O1442" i="1" a="1"/>
  <c r="O1310" i="1" a="1"/>
  <c r="O1424" i="1" a="1"/>
  <c r="O1412" i="1" a="1"/>
  <c r="O1286" i="1" a="1"/>
  <c r="O1147" i="1" a="1"/>
  <c r="O951" i="1" a="1"/>
  <c r="O864" i="1" a="1"/>
  <c r="O752" i="1" a="1"/>
  <c r="O663" i="1" a="1"/>
  <c r="O1218" i="1" a="1"/>
  <c r="O1055" i="1" a="1"/>
  <c r="O969" i="1" a="1"/>
  <c r="O1215" i="1" a="1"/>
  <c r="O1028" i="1" a="1"/>
  <c r="O2325" i="1" a="1"/>
  <c r="O2336" i="1" a="1"/>
  <c r="O2349" i="1" a="1"/>
  <c r="O2216" i="1" a="1"/>
  <c r="O2127" i="1" a="1"/>
  <c r="O2258" i="1" a="1"/>
  <c r="O2214" i="1" a="1"/>
  <c r="O2082" i="1" a="1"/>
  <c r="O1826" i="1" a="1"/>
  <c r="O2177" i="1" a="1"/>
  <c r="O1876" i="1" a="1"/>
  <c r="O1967" i="1" a="1"/>
  <c r="O2049" i="1" a="1"/>
  <c r="O1987" i="1" a="1"/>
  <c r="O2129" i="1" a="1"/>
  <c r="O2073" i="1" a="1"/>
  <c r="O1960" i="1" a="1"/>
  <c r="O1854" i="1" a="1"/>
  <c r="O1914" i="1" a="1"/>
  <c r="O1737" i="1" a="1"/>
  <c r="O1666" i="1" a="1"/>
  <c r="O1745" i="1" a="1"/>
  <c r="O1606" i="1" a="1"/>
  <c r="O1491" i="1" a="1"/>
  <c r="O1307" i="1" a="1"/>
  <c r="O1429" i="1" a="1"/>
  <c r="O1550" i="1" a="1"/>
  <c r="O1406" i="1" a="1"/>
  <c r="O1568" i="1" a="1"/>
  <c r="O1700" i="1" a="1"/>
  <c r="O1483" i="1" a="1"/>
  <c r="O1492" i="1" a="1"/>
  <c r="O1542" i="1" a="1"/>
  <c r="O1576" i="1" a="1"/>
  <c r="O1441" i="1" a="1"/>
  <c r="O1414" i="1" a="1"/>
  <c r="O1274" i="1" a="1"/>
  <c r="O1187" i="1" a="1"/>
  <c r="O1437" i="1" a="1"/>
  <c r="O1269" i="1" a="1"/>
  <c r="O1157" i="1" a="1"/>
  <c r="O1074" i="1" a="1"/>
  <c r="O1052" i="1" a="1"/>
  <c r="O1396" i="1" a="1"/>
  <c r="O1278" i="1" a="1"/>
  <c r="O1166" i="1" a="1"/>
  <c r="O1337" i="1" a="1"/>
  <c r="O1439" i="1" a="1"/>
  <c r="O1298" i="1" a="1"/>
  <c r="O1421" i="1" a="1"/>
  <c r="O1403" i="1" a="1"/>
  <c r="O1254" i="1" a="1"/>
  <c r="O1142" i="1" a="1"/>
  <c r="O944" i="1" a="1"/>
  <c r="O855" i="1" a="1"/>
  <c r="O743" i="1" a="1"/>
  <c r="O631" i="1" a="1"/>
  <c r="O1199" i="1" a="1"/>
  <c r="O1047" i="1" a="1"/>
  <c r="O962" i="1" a="1"/>
  <c r="O1209" i="1" a="1"/>
  <c r="O996" i="1" a="1"/>
  <c r="O1190" i="1" a="1"/>
  <c r="O1033" i="1" a="1"/>
  <c r="O941" i="1" a="1"/>
  <c r="O1023" i="1" a="1"/>
  <c r="O1181" i="1" a="1"/>
  <c r="O1059" i="1" a="1"/>
  <c r="O945" i="1" a="1"/>
  <c r="O1170" i="1" a="1"/>
  <c r="O972" i="1" a="1"/>
  <c r="O860" i="1" a="1"/>
  <c r="O771" i="1" a="1"/>
  <c r="O707" i="1" a="1"/>
  <c r="O643" i="1" a="1"/>
  <c r="O902" i="1" a="1"/>
  <c r="O826" i="1" a="1"/>
  <c r="O754" i="1" a="1"/>
  <c r="O680" i="1" a="1"/>
  <c r="O611" i="1" a="1"/>
  <c r="O548" i="1" a="1"/>
  <c r="O484" i="1" a="1"/>
  <c r="O468" i="1" a="1"/>
  <c r="O452" i="1" a="1"/>
  <c r="O436" i="1" a="1"/>
  <c r="O420" i="1" a="1"/>
  <c r="O404" i="1" a="1"/>
  <c r="O388" i="1" a="1"/>
  <c r="O372" i="1" a="1"/>
  <c r="O356" i="1" a="1"/>
  <c r="O340" i="1" a="1"/>
  <c r="O324" i="1" a="1"/>
  <c r="O308" i="1" a="1"/>
  <c r="O869" i="1" a="1"/>
  <c r="O2318" i="1" a="1"/>
  <c r="O2383" i="1" a="1"/>
  <c r="O2362" i="1" a="1"/>
  <c r="O1819" i="1" a="1"/>
  <c r="O1837" i="1" a="1"/>
  <c r="O1962" i="1" a="1"/>
  <c r="O1953" i="1" a="1"/>
  <c r="O1784" i="1" a="1"/>
  <c r="O1859" i="1" a="1"/>
  <c r="O1722" i="1" a="1"/>
  <c r="O1502" i="1" a="1"/>
  <c r="O1591" i="1" a="1"/>
  <c r="O1526" i="1" a="1"/>
  <c r="O1368" i="1" a="1"/>
  <c r="O1146" i="1" a="1"/>
  <c r="O1148" i="1" a="1"/>
  <c r="O1040" i="1" a="1"/>
  <c r="O1150" i="1" a="1"/>
  <c r="O1291" i="1" a="1"/>
  <c r="O1320" i="1" a="1"/>
  <c r="O928" i="1" a="1"/>
  <c r="O624" i="1" a="1"/>
  <c r="O1026" i="1" a="1"/>
  <c r="O980" i="1" a="1"/>
  <c r="O1014" i="1" a="1"/>
  <c r="O1007" i="1" a="1"/>
  <c r="O1018" i="1" a="1"/>
  <c r="O1115" i="1" a="1"/>
  <c r="O844" i="1" a="1"/>
  <c r="O691" i="1" a="1"/>
  <c r="O875" i="1" a="1"/>
  <c r="O762" i="1" a="1"/>
  <c r="O644" i="1" a="1"/>
  <c r="O539" i="1" a="1"/>
  <c r="O476" i="1" a="1"/>
  <c r="O448" i="1" a="1"/>
  <c r="O422" i="1" a="1"/>
  <c r="O398" i="1" a="1"/>
  <c r="O370" i="1" a="1"/>
  <c r="O348" i="1" a="1"/>
  <c r="O320" i="1" a="1"/>
  <c r="O888" i="1" a="1"/>
  <c r="O741" i="1" a="1"/>
  <c r="O613" i="1" a="1"/>
  <c r="O932" i="1" a="1"/>
  <c r="O815" i="1" a="1"/>
  <c r="O728" i="1" a="1"/>
  <c r="O618" i="1" a="1"/>
  <c r="O901" i="1" a="1"/>
  <c r="O779" i="1" a="1"/>
  <c r="O633" i="1" a="1"/>
  <c r="O1006" i="1" a="1"/>
  <c r="O850" i="1" a="1"/>
  <c r="O735" i="1" a="1"/>
  <c r="O648" i="1" a="1"/>
  <c r="O1069" i="1" a="1"/>
  <c r="O809" i="1" a="1"/>
  <c r="O681" i="1" a="1"/>
  <c r="O574" i="1" a="1"/>
  <c r="O1061" i="1" a="1"/>
  <c r="O870" i="1" a="1"/>
  <c r="O783" i="1" a="1"/>
  <c r="O673" i="1" a="1"/>
  <c r="O576" i="1" a="1"/>
  <c r="O496" i="1" a="1"/>
  <c r="O916" i="1" a="1"/>
  <c r="O793" i="1" a="1"/>
  <c r="O683" i="1" a="1"/>
  <c r="O585" i="1" a="1"/>
  <c r="O498" i="1" a="1"/>
  <c r="O465" i="1" a="1"/>
  <c r="O401" i="1" a="1"/>
  <c r="O337" i="1" a="1"/>
  <c r="O271" i="1" a="1"/>
  <c r="O207" i="1" a="1"/>
  <c r="O518" i="1" a="1"/>
  <c r="O257" i="1" a="1"/>
  <c r="O193" i="1" a="1"/>
  <c r="O524" i="1" a="1"/>
  <c r="O451" i="1" a="1"/>
  <c r="O387" i="1" a="1"/>
  <c r="O323" i="1" a="1"/>
  <c r="O259" i="1" a="1"/>
  <c r="O195" i="1" a="1"/>
  <c r="O538" i="1" a="1"/>
  <c r="O261" i="1" a="1"/>
  <c r="O161" i="1" a="1"/>
  <c r="O129" i="1" a="1"/>
  <c r="O99" i="1" a="1"/>
  <c r="O65" i="1" a="1"/>
  <c r="O35" i="1" a="1"/>
  <c r="O593" i="1" a="1"/>
  <c r="O461" i="1" a="1"/>
  <c r="O397" i="1" a="1"/>
  <c r="O333" i="1" a="1"/>
  <c r="O272" i="1" a="1"/>
  <c r="O208" i="1" a="1"/>
  <c r="O306" i="1" a="1"/>
  <c r="O242" i="1" a="1"/>
  <c r="O178" i="1" a="1"/>
  <c r="O531" i="1" a="1"/>
  <c r="O447" i="1" a="1"/>
  <c r="O383" i="1" a="1"/>
  <c r="O319" i="1" a="1"/>
  <c r="O251" i="1" a="1"/>
  <c r="O187" i="1" a="1"/>
  <c r="O163" i="1" a="1"/>
  <c r="O131" i="1" a="1"/>
  <c r="O97" i="1" a="1"/>
  <c r="O67" i="1" a="1"/>
  <c r="O33" i="1" a="1"/>
  <c r="O554" i="1" a="1"/>
  <c r="O278" i="1" a="1"/>
  <c r="O214" i="1" a="1"/>
  <c r="O162" i="1" a="1"/>
  <c r="O146" i="1" a="1"/>
  <c r="O130" i="1" a="1"/>
  <c r="O114" i="1" a="1"/>
  <c r="O98" i="1" a="1"/>
  <c r="O82" i="1" a="1"/>
  <c r="O66" i="1" a="1"/>
  <c r="O50" i="1" a="1"/>
  <c r="O2302" i="1" a="1"/>
  <c r="O2208" i="1" a="1"/>
  <c r="O2317" i="1" a="1"/>
  <c r="O1815" i="1" a="1"/>
  <c r="O1958" i="1" a="1"/>
  <c r="O1946" i="1" a="1"/>
  <c r="O1916" i="1" a="1"/>
  <c r="O1728" i="1" a="1"/>
  <c r="O1747" i="1" a="1"/>
  <c r="O1695" i="1" a="1"/>
  <c r="O1383" i="1" a="1"/>
  <c r="O1570" i="1" a="1"/>
  <c r="O1478" i="1" a="1"/>
  <c r="O1394" i="1" a="1"/>
  <c r="O1139" i="1" a="1"/>
  <c r="O1141" i="1" a="1"/>
  <c r="O1387" i="1" a="1"/>
  <c r="O1118" i="1" a="1"/>
  <c r="O1282" i="1" a="1"/>
  <c r="O1247" i="1" a="1"/>
  <c r="O919" i="1" a="1"/>
  <c r="O615" i="1" a="1"/>
  <c r="O930" i="1" a="1"/>
  <c r="O971" i="1" a="1"/>
  <c r="O1005" i="1" a="1"/>
  <c r="O975" i="1" a="1"/>
  <c r="O1009" i="1" a="1"/>
  <c r="O1110" i="1" a="1"/>
  <c r="O835" i="1" a="1"/>
  <c r="O684" i="1" a="1"/>
  <c r="O872" i="1" a="1"/>
  <c r="O744" i="1" a="1"/>
  <c r="O639" i="1" a="1"/>
  <c r="O532" i="1" a="1"/>
  <c r="O470" i="1" a="1"/>
  <c r="O446" i="1" a="1"/>
  <c r="O418" i="1" a="1"/>
  <c r="O396" i="1" a="1"/>
  <c r="O368" i="1" a="1"/>
  <c r="O342" i="1" a="1"/>
  <c r="O318" i="1" a="1"/>
  <c r="O859" i="1" a="1"/>
  <c r="O731" i="1" a="1"/>
  <c r="O589" i="1" a="1"/>
  <c r="O926" i="1" a="1"/>
  <c r="O810" i="1" a="1"/>
  <c r="O692" i="1" a="1"/>
  <c r="O598" i="1" a="1"/>
  <c r="O877" i="1" a="1"/>
  <c r="O733" i="1" a="1"/>
  <c r="O610" i="1" a="1"/>
  <c r="O943" i="1" a="1"/>
  <c r="O817" i="1" a="1"/>
  <c r="O730" i="1" a="1"/>
  <c r="O630" i="1" a="1"/>
  <c r="O949" i="1" a="1"/>
  <c r="O781" i="1" a="1"/>
  <c r="O653" i="1" a="1"/>
  <c r="O549" i="1" a="1"/>
  <c r="O965" i="1" a="1"/>
  <c r="O865" i="1" a="1"/>
  <c r="O760" i="1" a="1"/>
  <c r="O660" i="1" a="1"/>
  <c r="O567" i="1" a="1"/>
  <c r="O537" i="1" a="1"/>
  <c r="O897" i="1" a="1"/>
  <c r="O765" i="1" a="1"/>
  <c r="O670" i="1" a="1"/>
  <c r="O578" i="1" a="1"/>
  <c r="O563" i="1" a="1"/>
  <c r="O457" i="1" a="1"/>
  <c r="O393" i="1" a="1"/>
  <c r="O329" i="1" a="1"/>
  <c r="O264" i="1" a="1"/>
  <c r="O200" i="1" a="1"/>
  <c r="O486" i="1" a="1"/>
  <c r="O250" i="1" a="1"/>
  <c r="O186" i="1" a="1"/>
  <c r="O515" i="1" a="1"/>
  <c r="O443" i="1" a="1"/>
  <c r="O379" i="1" a="1"/>
  <c r="O315" i="1" a="1"/>
  <c r="O252" i="1" a="1"/>
  <c r="O188" i="1" a="1"/>
  <c r="O509" i="1" a="1"/>
  <c r="O254" i="1" a="1"/>
  <c r="O157" i="1" a="1"/>
  <c r="O125" i="1" a="1"/>
  <c r="O95" i="1" a="1"/>
  <c r="O61" i="1" a="1"/>
  <c r="O31" i="1" a="1"/>
  <c r="O552" i="1" a="1"/>
  <c r="O453" i="1" a="1"/>
  <c r="O389" i="1" a="1"/>
  <c r="O325" i="1" a="1"/>
  <c r="O263" i="1" a="1"/>
  <c r="O199" i="1" a="1"/>
  <c r="O297" i="1" a="1"/>
  <c r="O233" i="1" a="1"/>
  <c r="O169" i="1" a="1"/>
  <c r="O511" i="1" a="1"/>
  <c r="O439" i="1" a="1"/>
  <c r="O375" i="1" a="1"/>
  <c r="O311" i="1" a="1"/>
  <c r="O244" i="1" a="1"/>
  <c r="O180" i="1" a="1"/>
  <c r="O159" i="1" a="1"/>
  <c r="O127" i="1" a="1"/>
  <c r="O2286" i="1" a="1"/>
  <c r="O2189" i="1" a="1"/>
  <c r="O2206" i="1" a="1"/>
  <c r="O1811" i="1" a="1"/>
  <c r="O1942" i="1" a="1"/>
  <c r="O2113" i="1" a="1"/>
  <c r="O1884" i="1" a="1"/>
  <c r="O1712" i="1" a="1"/>
  <c r="O1604" i="1" a="1"/>
  <c r="O1663" i="1" a="1"/>
  <c r="O1342" i="1" a="1"/>
  <c r="O1467" i="1" a="1"/>
  <c r="O1462" i="1" a="1"/>
  <c r="O1391" i="1" a="1"/>
  <c r="O1408" i="1" a="1"/>
  <c r="O1109" i="1" a="1"/>
  <c r="O1364" i="1" a="1"/>
  <c r="O1305" i="1" a="1"/>
  <c r="O1275" i="1" a="1"/>
  <c r="O1417" i="1" a="1"/>
  <c r="O823" i="1" a="1"/>
  <c r="O608" i="1" a="1"/>
  <c r="O921" i="1" a="1"/>
  <c r="O1195" i="1" a="1"/>
  <c r="O950" i="1" a="1"/>
  <c r="O1249" i="1" a="1"/>
  <c r="O954" i="1" a="1"/>
  <c r="O979" i="1" a="1"/>
  <c r="O780" i="1" a="1"/>
  <c r="O652" i="1" a="1"/>
  <c r="O854" i="1" a="1"/>
  <c r="O726" i="1" a="1"/>
  <c r="O616" i="1" a="1"/>
  <c r="O523" i="1" a="1"/>
  <c r="O466" i="1" a="1"/>
  <c r="O444" i="1" a="1"/>
  <c r="O416" i="1" a="1"/>
  <c r="O390" i="1" a="1"/>
  <c r="O366" i="1" a="1"/>
  <c r="O338" i="1" a="1"/>
  <c r="O316" i="1" a="1"/>
  <c r="O846" i="1" a="1"/>
  <c r="O718" i="1" a="1"/>
  <c r="O582" i="1" a="1"/>
  <c r="O907" i="1" a="1"/>
  <c r="O802" i="1" a="1"/>
  <c r="O687" i="1" a="1"/>
  <c r="O591" i="1" a="1"/>
  <c r="O874" i="1" a="1"/>
  <c r="O725" i="1" a="1"/>
  <c r="O603" i="1" a="1"/>
  <c r="O934" i="1" a="1"/>
  <c r="O804" i="1" a="1"/>
  <c r="O722" i="1" a="1"/>
  <c r="O625" i="1" a="1"/>
  <c r="O909" i="1" a="1"/>
  <c r="O773" i="1" a="1"/>
  <c r="O645" i="1" a="1"/>
  <c r="O542" i="1" a="1"/>
  <c r="O958" i="1" a="1"/>
  <c r="O852" i="1" a="1"/>
  <c r="O742" i="1" a="1"/>
  <c r="O655" i="1" a="1"/>
  <c r="O560" i="1" a="1"/>
  <c r="O530" i="1" a="1"/>
  <c r="O886" i="1" a="1"/>
  <c r="O757" i="1" a="1"/>
  <c r="O665" i="1" a="1"/>
  <c r="O569" i="1" a="1"/>
  <c r="O545" i="1" a="1"/>
  <c r="O449" i="1" a="1"/>
  <c r="O385" i="1" a="1"/>
  <c r="O321" i="1" a="1"/>
  <c r="O255" i="1" a="1"/>
  <c r="O191" i="1" a="1"/>
  <c r="O305" i="1" a="1"/>
  <c r="O241" i="1" a="1"/>
  <c r="O177" i="1" a="1"/>
  <c r="O495" i="1" a="1"/>
  <c r="O435" i="1" a="1"/>
  <c r="O371" i="1" a="1"/>
  <c r="O307" i="1" a="1"/>
  <c r="O243" i="1" a="1"/>
  <c r="O179" i="1" a="1"/>
  <c r="O506" i="1" a="1"/>
  <c r="O245" i="1" a="1"/>
  <c r="O153" i="1" a="1"/>
  <c r="O121" i="1" a="1"/>
  <c r="O89" i="1" a="1"/>
  <c r="O57" i="1" a="1"/>
  <c r="O27" i="1" a="1"/>
  <c r="O529" i="1" a="1"/>
  <c r="O445" i="1" a="1"/>
  <c r="O381" i="1" a="1"/>
  <c r="O317" i="1" a="1"/>
  <c r="O256" i="1" a="1"/>
  <c r="O192" i="1" a="1"/>
  <c r="O290" i="1" a="1"/>
  <c r="O226" i="1" a="1"/>
  <c r="O19" i="1" a="1"/>
  <c r="O508" i="1" a="1"/>
  <c r="O431" i="1" a="1"/>
  <c r="O367" i="1" a="1"/>
  <c r="O299" i="1" a="1"/>
  <c r="O235" i="1" a="1"/>
  <c r="O171" i="1" a="1"/>
  <c r="O155" i="1" a="1"/>
  <c r="O123" i="1" a="1"/>
  <c r="O91" i="1" a="1"/>
  <c r="O59" i="1" a="1"/>
  <c r="O25" i="1" a="1"/>
  <c r="O522" i="1" a="1"/>
  <c r="O262" i="1" a="1"/>
  <c r="O198" i="1" a="1"/>
  <c r="O158" i="1" a="1"/>
  <c r="O142" i="1" a="1"/>
  <c r="O126" i="1" a="1"/>
  <c r="O110" i="1" a="1"/>
  <c r="O94" i="1" a="1"/>
  <c r="O78" i="1" a="1"/>
  <c r="O62" i="1" a="1"/>
  <c r="O2327" i="1" a="1"/>
  <c r="O2173" i="1" a="1"/>
  <c r="O2192" i="1" a="1"/>
  <c r="O2158" i="1" a="1"/>
  <c r="O1926" i="1" a="1"/>
  <c r="O2100" i="1" a="1"/>
  <c r="O1834" i="1" a="1"/>
  <c r="O1696" i="1" a="1"/>
  <c r="O1600" i="1" a="1"/>
  <c r="O1413" i="1" a="1"/>
  <c r="O1706" i="1" a="1"/>
  <c r="O1711" i="1" a="1"/>
  <c r="O1569" i="1" a="1"/>
  <c r="O1350" i="1" a="1"/>
  <c r="O1405" i="1" a="1"/>
  <c r="O1072" i="1" a="1"/>
  <c r="O1355" i="1" a="1"/>
  <c r="O1296" i="1" a="1"/>
  <c r="O1357" i="1" a="1"/>
  <c r="O1385" i="1" a="1"/>
  <c r="O816" i="1" a="1"/>
  <c r="O1193" i="1" a="1"/>
  <c r="O914" i="1" a="1"/>
  <c r="O1160" i="1" a="1"/>
  <c r="O1211" i="1" a="1"/>
  <c r="O1154" i="1" a="1"/>
  <c r="O938" i="1" a="1"/>
  <c r="O963" i="1" a="1"/>
  <c r="O764" i="1" a="1"/>
  <c r="O636" i="1" a="1"/>
  <c r="O831" i="1" a="1"/>
  <c r="O721" i="1" a="1"/>
  <c r="O606" i="1" a="1"/>
  <c r="O516" i="1" a="1"/>
  <c r="O464" i="1" a="1"/>
  <c r="O438" i="1" a="1"/>
  <c r="O414" i="1" a="1"/>
  <c r="O386" i="1" a="1"/>
  <c r="O364" i="1" a="1"/>
  <c r="O336" i="1" a="1"/>
  <c r="O310" i="1" a="1"/>
  <c r="O841" i="1" a="1"/>
  <c r="O677" i="1" a="1"/>
  <c r="O573" i="1" a="1"/>
  <c r="O904" i="1" a="1"/>
  <c r="O769" i="1" a="1"/>
  <c r="O682" i="1" a="1"/>
  <c r="O584" i="1" a="1"/>
  <c r="O843" i="1" a="1"/>
  <c r="O715" i="1" a="1"/>
  <c r="O586" i="1" a="1"/>
  <c r="O890" i="1" a="1"/>
  <c r="O799" i="1" a="1"/>
  <c r="O712" i="1" a="1"/>
  <c r="O1186" i="1" a="1"/>
  <c r="O906" i="1" a="1"/>
  <c r="O763" i="1" a="1"/>
  <c r="O617" i="1" a="1"/>
  <c r="O533" i="1" a="1"/>
  <c r="O955" i="1" a="1"/>
  <c r="O834" i="1" a="1"/>
  <c r="O737" i="1" a="1"/>
  <c r="O650" i="1" a="1"/>
  <c r="O535" i="1" a="1"/>
  <c r="O489" i="1" a="1"/>
  <c r="O878" i="1" a="1"/>
  <c r="O747" i="1" a="1"/>
  <c r="O637" i="1" a="1"/>
  <c r="O562" i="1" a="1"/>
  <c r="O536" i="1" a="1"/>
  <c r="O441" i="1" a="1"/>
  <c r="O377" i="1" a="1"/>
  <c r="O313" i="1" a="1"/>
  <c r="O248" i="1" a="1"/>
  <c r="O184" i="1" a="1"/>
  <c r="O298" i="1" a="1"/>
  <c r="O234" i="1" a="1"/>
  <c r="O170" i="1" a="1"/>
  <c r="O492" i="1" a="1"/>
  <c r="O427" i="1" a="1"/>
  <c r="O363" i="1" a="1"/>
  <c r="O300" i="1" a="1"/>
  <c r="O236" i="1" a="1"/>
  <c r="O172" i="1" a="1"/>
  <c r="O302" i="1" a="1"/>
  <c r="O238" i="1" a="1"/>
  <c r="O151" i="1" a="1"/>
  <c r="O117" i="1" a="1"/>
  <c r="O85" i="1" a="1"/>
  <c r="O55" i="1" a="1"/>
  <c r="O21" i="1" a="1"/>
  <c r="O520" i="1" a="1"/>
  <c r="O437" i="1" a="1"/>
  <c r="O373" i="1" a="1"/>
  <c r="O309" i="1" a="1"/>
  <c r="O247" i="1" a="1"/>
  <c r="O183" i="1" a="1"/>
  <c r="O281" i="1" a="1"/>
  <c r="O217" i="1" a="1"/>
  <c r="O9" i="1" a="1"/>
  <c r="O499" i="1" a="1"/>
  <c r="O423" i="1" a="1"/>
  <c r="O359" i="1" a="1"/>
  <c r="O292" i="1" a="1"/>
  <c r="O228" i="1" a="1"/>
  <c r="O229" i="1" a="1"/>
  <c r="O149" i="1" a="1"/>
  <c r="O119" i="1" a="1"/>
  <c r="O87" i="1" a="1"/>
  <c r="O53" i="1" a="1"/>
  <c r="O23" i="1" a="1"/>
  <c r="O493" i="1" a="1"/>
  <c r="O253" i="1" a="1"/>
  <c r="O189" i="1" a="1"/>
  <c r="O156" i="1" a="1"/>
  <c r="O140" i="1" a="1"/>
  <c r="O124" i="1" a="1"/>
  <c r="O108" i="1" a="1"/>
  <c r="O92" i="1" a="1"/>
  <c r="O76" i="1" a="1"/>
  <c r="O60" i="1" a="1"/>
  <c r="O44" i="1" a="1"/>
  <c r="O28" i="1" a="1"/>
  <c r="O12" i="1" a="1"/>
  <c r="O365" i="1" a="1"/>
  <c r="O176" i="1" a="1"/>
  <c r="O210" i="1" a="1"/>
  <c r="O2311" i="1" a="1"/>
  <c r="O2118" i="1" a="1"/>
  <c r="O2176" i="1" a="1"/>
  <c r="O2139" i="1" a="1"/>
  <c r="O2040" i="1" a="1"/>
  <c r="O2087" i="1" a="1"/>
  <c r="O1822" i="1" a="1"/>
  <c r="O1659" i="1" a="1"/>
  <c r="O1596" i="1" a="1"/>
  <c r="O1388" i="1" a="1"/>
  <c r="O1552" i="1" a="1"/>
  <c r="O1624" i="1" a="1"/>
  <c r="O1553" i="1" a="1"/>
  <c r="O1267" i="1" a="1"/>
  <c r="O1376" i="1" a="1"/>
  <c r="O1070" i="1" a="1"/>
  <c r="O1246" i="1" a="1"/>
  <c r="O1289" i="1" a="1"/>
  <c r="O1300" i="1" a="1"/>
  <c r="O1112" i="1" a="1"/>
  <c r="O807" i="1" a="1"/>
  <c r="O1158" i="1" a="1"/>
  <c r="O1204" i="1" a="1"/>
  <c r="O1103" i="1" a="1"/>
  <c r="O1206" i="1" a="1"/>
  <c r="O1135" i="1" a="1"/>
  <c r="O929" i="1" a="1"/>
  <c r="O956" i="1" a="1"/>
  <c r="O755" i="1" a="1"/>
  <c r="O627" i="1" a="1"/>
  <c r="O818" i="1" a="1"/>
  <c r="O708" i="1" a="1"/>
  <c r="O594" i="1" a="1"/>
  <c r="O491" i="1" a="1"/>
  <c r="O462" i="1" a="1"/>
  <c r="O434" i="1" a="1"/>
  <c r="O412" i="1" a="1"/>
  <c r="O384" i="1" a="1"/>
  <c r="O358" i="1" a="1"/>
  <c r="O334" i="1" a="1"/>
  <c r="O1037" i="1" a="1"/>
  <c r="O813" i="1" a="1"/>
  <c r="O667" i="1" a="1"/>
  <c r="O566" i="1" a="1"/>
  <c r="O885" i="1" a="1"/>
  <c r="O756" i="1" a="1"/>
  <c r="O674" i="1" a="1"/>
  <c r="O575" i="1" a="1"/>
  <c r="O830" i="1" a="1"/>
  <c r="O702" i="1" a="1"/>
  <c r="O577" i="1" a="1"/>
  <c r="O879" i="1" a="1"/>
  <c r="O794" i="1" a="1"/>
  <c r="O694" i="1" a="1"/>
  <c r="O1167" i="1" a="1"/>
  <c r="O895" i="1" a="1"/>
  <c r="O750" i="1" a="1"/>
  <c r="O607" i="1" a="1"/>
  <c r="O526" i="1" a="1"/>
  <c r="O936" i="1" a="1"/>
  <c r="O824" i="1" a="1"/>
  <c r="O724" i="1" a="1"/>
  <c r="O642" i="1" a="1"/>
  <c r="O528" i="1" a="1"/>
  <c r="O1053" i="1" a="1"/>
  <c r="O862" i="1" a="1"/>
  <c r="O734" i="1" a="1"/>
  <c r="O629" i="1" a="1"/>
  <c r="O553" i="1" a="1"/>
  <c r="O513" i="1" a="1"/>
  <c r="O433" i="1" a="1"/>
  <c r="O369" i="1" a="1"/>
  <c r="O303" i="1" a="1"/>
  <c r="O239" i="1" a="1"/>
  <c r="O175" i="1" a="1"/>
  <c r="O289" i="1" a="1"/>
  <c r="O225" i="1" a="1"/>
  <c r="O572" i="1" a="1"/>
  <c r="O483" i="1" a="1"/>
  <c r="O419" i="1" a="1"/>
  <c r="O355" i="1" a="1"/>
  <c r="O291" i="1" a="1"/>
  <c r="O227" i="1" a="1"/>
  <c r="O579" i="1" a="1"/>
  <c r="O293" i="1" a="1"/>
  <c r="O213" i="1" a="1"/>
  <c r="O147" i="1" a="1"/>
  <c r="O113" i="1" a="1"/>
  <c r="O81" i="1" a="1"/>
  <c r="O49" i="1" a="1"/>
  <c r="O15" i="1" a="1"/>
  <c r="O497" i="1" a="1"/>
  <c r="O429" i="1" a="1"/>
  <c r="O304" i="1" a="1"/>
  <c r="O240" i="1" a="1"/>
  <c r="O274" i="1" a="1"/>
  <c r="O3" i="1" a="1"/>
  <c r="O2393" i="1" a="1"/>
  <c r="O2043" i="1" a="1"/>
  <c r="O2048" i="1" a="1"/>
  <c r="O1482" i="1" a="1"/>
  <c r="O1607" i="1" a="1"/>
  <c r="O1251" i="1" a="1"/>
  <c r="O1239" i="1" a="1"/>
  <c r="O1371" i="1" a="1"/>
  <c r="O1039" i="1" a="1"/>
  <c r="O1176" i="1" a="1"/>
  <c r="O1121" i="1" a="1"/>
  <c r="O913" i="1" a="1"/>
  <c r="O587" i="1" a="1"/>
  <c r="O450" i="1" a="1"/>
  <c r="O380" i="1" a="1"/>
  <c r="O1022" i="1" a="1"/>
  <c r="O621" i="1" a="1"/>
  <c r="O746" i="1" a="1"/>
  <c r="O825" i="1" a="1"/>
  <c r="O1077" i="1" a="1"/>
  <c r="O666" i="1" a="1"/>
  <c r="O709" i="1" a="1"/>
  <c r="O485" i="1" a="1"/>
  <c r="O714" i="1" a="1"/>
  <c r="O990" i="1" a="1"/>
  <c r="O693" i="1" a="1"/>
  <c r="O481" i="1" a="1"/>
  <c r="O296" i="1" a="1"/>
  <c r="O550" i="1" a="1"/>
  <c r="O547" i="1" a="1"/>
  <c r="O347" i="1" a="1"/>
  <c r="O204" i="1" a="1"/>
  <c r="O181" i="1" a="1"/>
  <c r="O77" i="1" a="1"/>
  <c r="O600" i="1" a="1"/>
  <c r="O349" i="1" a="1"/>
  <c r="O167" i="1" a="1"/>
  <c r="O185" i="1" a="1"/>
  <c r="O415" i="1" a="1"/>
  <c r="O283" i="1" a="1"/>
  <c r="O222" i="1" a="1"/>
  <c r="O115" i="1" a="1"/>
  <c r="O71" i="1" a="1"/>
  <c r="O13" i="1" a="1"/>
  <c r="O269" i="1" a="1"/>
  <c r="O166" i="1" a="1"/>
  <c r="O138" i="1" a="1"/>
  <c r="O116" i="1" a="1"/>
  <c r="O88" i="1" a="1"/>
  <c r="O64" i="1" a="1"/>
  <c r="O40" i="1" a="1"/>
  <c r="O22" i="1" a="1"/>
  <c r="O4" i="1" a="1"/>
  <c r="O1469" i="1" a="1"/>
  <c r="O892" i="1" a="1"/>
  <c r="O555" i="1" a="1"/>
  <c r="O354" i="1" a="1"/>
  <c r="O1161" i="1" a="1"/>
  <c r="O789" i="1" a="1"/>
  <c r="O1156" i="1" a="1"/>
  <c r="O900" i="1" a="1"/>
  <c r="O927" i="1" a="1"/>
  <c r="O280" i="1" a="1"/>
  <c r="O331" i="1" a="1"/>
  <c r="O143" i="1" a="1"/>
  <c r="O477" i="1" a="1"/>
  <c r="O502" i="1" a="1"/>
  <c r="O399" i="1" a="1"/>
  <c r="O190" i="1" a="1"/>
  <c r="O51" i="1" a="1"/>
  <c r="O237" i="1" a="1"/>
  <c r="O134" i="1" a="1"/>
  <c r="O84" i="1" a="1"/>
  <c r="O18" i="1" a="1"/>
  <c r="O482" i="1" a="1"/>
  <c r="O352" i="1" a="1"/>
  <c r="O974" i="1" a="1"/>
  <c r="O697" i="1" a="1"/>
  <c r="O1137" i="1" a="1"/>
  <c r="O881" i="1" a="1"/>
  <c r="O821" i="1" a="1"/>
  <c r="O232" i="1" a="1"/>
  <c r="O467" i="1" a="1"/>
  <c r="O541" i="1" a="1"/>
  <c r="O45" i="1" a="1"/>
  <c r="O288" i="1" a="1"/>
  <c r="O540" i="1" a="1"/>
  <c r="O260" i="1" a="1"/>
  <c r="O101" i="1" a="1"/>
  <c r="O525" i="1" a="1"/>
  <c r="O154" i="1" a="1"/>
  <c r="O104" i="1" a="1"/>
  <c r="O54" i="1" a="1"/>
  <c r="O16" i="1" a="1"/>
  <c r="O2024" i="1" a="1"/>
  <c r="O1845" i="1" a="1"/>
  <c r="O1528" i="1" a="1"/>
  <c r="O1378" i="1" a="1"/>
  <c r="O987" i="1" a="1"/>
  <c r="O748" i="1" a="1"/>
  <c r="O480" i="1" a="1"/>
  <c r="O350" i="1" a="1"/>
  <c r="O838" i="1" a="1"/>
  <c r="O786" i="1" a="1"/>
  <c r="O1126" i="1" a="1"/>
  <c r="O806" i="1" a="1"/>
  <c r="O521" i="1" a="1"/>
  <c r="O223" i="1" a="1"/>
  <c r="O459" i="1" a="1"/>
  <c r="O135" i="1" a="1"/>
  <c r="O421" i="1" a="1"/>
  <c r="O479" i="1" a="1"/>
  <c r="O93" i="1" a="1"/>
  <c r="O490" i="1" a="1"/>
  <c r="O102" i="1" a="1"/>
  <c r="O32" i="1" a="1"/>
  <c r="O1643" i="1" a="1"/>
  <c r="O1511" i="1" a="1"/>
  <c r="O1068" i="1" a="1"/>
  <c r="O727" i="1" a="1"/>
  <c r="O690" i="1" a="1"/>
  <c r="O332" i="1" a="1"/>
  <c r="O981" i="1" a="1"/>
  <c r="O884" i="1" a="1"/>
  <c r="O514" i="1" a="1"/>
  <c r="O411" i="1" a="1"/>
  <c r="O111" i="1" a="1"/>
  <c r="O249" i="1" a="1"/>
  <c r="O141" i="1" a="1"/>
  <c r="O301" i="1" a="1"/>
  <c r="O100" i="1" a="1"/>
  <c r="O30" i="1" a="1"/>
  <c r="O1627" i="1" a="1"/>
  <c r="O1041" i="1" a="1"/>
  <c r="O460" i="1" a="1"/>
  <c r="O820" i="1" a="1"/>
  <c r="O845" i="1" a="1"/>
  <c r="O729" i="1" a="1"/>
  <c r="O168" i="1" a="1"/>
  <c r="O270" i="1" a="1"/>
  <c r="O405" i="1" a="1"/>
  <c r="O463" i="1" a="1"/>
  <c r="O137" i="1" a="1"/>
  <c r="O182" i="1" a="1"/>
  <c r="O70" i="1" a="1"/>
  <c r="O2059" i="1" a="1"/>
  <c r="O1128" i="1" a="1"/>
  <c r="O657" i="1" a="1"/>
  <c r="O649" i="1" a="1"/>
  <c r="O1088" i="1" a="1"/>
  <c r="O719" i="1" a="1"/>
  <c r="O504" i="1" a="1"/>
  <c r="O395" i="1" a="1"/>
  <c r="O5" i="1" a="1"/>
  <c r="O194" i="1" a="1"/>
  <c r="O196" i="1" a="1"/>
  <c r="O17" i="1" a="1"/>
  <c r="O144" i="1" a="1"/>
  <c r="O42" i="1" a="1"/>
  <c r="O2342" i="1" a="1"/>
  <c r="O2117" i="1" a="1"/>
  <c r="O2032" i="1" a="1"/>
  <c r="O1466" i="1" a="1"/>
  <c r="O1485" i="1" a="1"/>
  <c r="O1178" i="1" a="1"/>
  <c r="O1230" i="1" a="1"/>
  <c r="O1015" i="1" a="1"/>
  <c r="O1031" i="1" a="1"/>
  <c r="O1089" i="1" a="1"/>
  <c r="O924" i="1" a="1"/>
  <c r="O894" i="1" a="1"/>
  <c r="O580" i="1" a="1"/>
  <c r="O432" i="1" a="1"/>
  <c r="O374" i="1" a="1"/>
  <c r="O964" i="1" a="1"/>
  <c r="O557" i="1" a="1"/>
  <c r="O738" i="1" a="1"/>
  <c r="O797" i="1" a="1"/>
  <c r="O868" i="1" a="1"/>
  <c r="O658" i="1" a="1"/>
  <c r="O699" i="1" a="1"/>
  <c r="O911" i="1" a="1"/>
  <c r="O678" i="1" a="1"/>
  <c r="O942" i="1" a="1"/>
  <c r="O619" i="1" a="1"/>
  <c r="O473" i="1" a="1"/>
  <c r="O287" i="1" a="1"/>
  <c r="O282" i="1" a="1"/>
  <c r="O527" i="1" a="1"/>
  <c r="O339" i="1" a="1"/>
  <c r="O568" i="1" a="1"/>
  <c r="O174" i="1" a="1"/>
  <c r="O73" i="1" a="1"/>
  <c r="O488" i="1" a="1"/>
  <c r="O341" i="1" a="1"/>
  <c r="O534" i="1" a="1"/>
  <c r="O561" i="1" a="1"/>
  <c r="O407" i="1" a="1"/>
  <c r="O276" i="1" a="1"/>
  <c r="O197" i="1" a="1"/>
  <c r="O109" i="1" a="1"/>
  <c r="O63" i="1" a="1"/>
  <c r="O7" i="1" a="1"/>
  <c r="O246" i="1" a="1"/>
  <c r="O164" i="1" a="1"/>
  <c r="O136" i="1" a="1"/>
  <c r="O112" i="1" a="1"/>
  <c r="O86" i="1" a="1"/>
  <c r="O58" i="1" a="1"/>
  <c r="O38" i="1" a="1"/>
  <c r="O20" i="1" a="1"/>
  <c r="O2" i="1" a="1"/>
  <c r="O2326" i="1" a="1"/>
  <c r="O1869" i="1" a="1"/>
  <c r="O1806" i="1" a="1"/>
  <c r="O1450" i="1" a="1"/>
  <c r="O1237" i="1" a="1"/>
  <c r="O1159" i="1" a="1"/>
  <c r="O1008" i="1" a="1"/>
  <c r="O1185" i="1" a="1"/>
  <c r="O1016" i="1" a="1"/>
  <c r="O808" i="1" a="1"/>
  <c r="O430" i="1" a="1"/>
  <c r="O918" i="1" a="1"/>
  <c r="O664" i="1" a="1"/>
  <c r="O863" i="1" a="1"/>
  <c r="O686" i="1" a="1"/>
  <c r="O602" i="1" a="1"/>
  <c r="O609" i="1" a="1"/>
  <c r="O273" i="1" a="1"/>
  <c r="O475" i="1" a="1"/>
  <c r="O559" i="1" a="1"/>
  <c r="O69" i="1" a="1"/>
  <c r="O295" i="1" a="1"/>
  <c r="O543" i="1" a="1"/>
  <c r="O267" i="1" a="1"/>
  <c r="O105" i="1" a="1"/>
  <c r="O588" i="1" a="1"/>
  <c r="O160" i="1" a="1"/>
  <c r="O106" i="1" a="1"/>
  <c r="O56" i="1" a="1"/>
  <c r="O36" i="1" a="1"/>
  <c r="O790" i="1" a="1"/>
  <c r="O428" i="1" a="1"/>
  <c r="O782" i="1" a="1"/>
  <c r="O646" i="1" a="1"/>
  <c r="O858" i="1" a="1"/>
  <c r="O595" i="1" a="1"/>
  <c r="O597" i="1" a="1"/>
  <c r="O604" i="1" a="1"/>
  <c r="O417" i="1" a="1"/>
  <c r="O266" i="1" a="1"/>
  <c r="O284" i="1" a="1"/>
  <c r="O139" i="1" a="1"/>
  <c r="O469" i="1" a="1"/>
  <c r="O265" i="1" a="1"/>
  <c r="O391" i="1" a="1"/>
  <c r="O165" i="1" a="1"/>
  <c r="O47" i="1" a="1"/>
  <c r="O230" i="1" a="1"/>
  <c r="O132" i="1" a="1"/>
  <c r="O80" i="1" a="1"/>
  <c r="O34" i="1" a="1"/>
  <c r="O2105" i="1" a="1"/>
  <c r="O1534" i="1" a="1"/>
  <c r="O1221" i="1" a="1"/>
  <c r="O736" i="1" a="1"/>
  <c r="O1067" i="1" a="1"/>
  <c r="O785" i="1" a="1"/>
  <c r="O406" i="1" a="1"/>
  <c r="O777" i="1" a="1"/>
  <c r="O623" i="1" a="1"/>
  <c r="O669" i="1" a="1"/>
  <c r="O590" i="1" a="1"/>
  <c r="O583" i="1" a="1"/>
  <c r="O811" i="1" a="1"/>
  <c r="O409" i="1" a="1"/>
  <c r="O218" i="1" a="1"/>
  <c r="O286" i="1" a="1"/>
  <c r="O41" i="1" a="1"/>
  <c r="O258" i="1" a="1"/>
  <c r="O145" i="1" a="1"/>
  <c r="O152" i="1" a="1"/>
  <c r="O52" i="1" a="1"/>
  <c r="O2008" i="1" a="1"/>
  <c r="O1384" i="1" a="1"/>
  <c r="O1375" i="1" a="1"/>
  <c r="O1051" i="1" a="1"/>
  <c r="O478" i="1" a="1"/>
  <c r="O833" i="1" a="1"/>
  <c r="O581" i="1" a="1"/>
  <c r="O798" i="1" a="1"/>
  <c r="O209" i="1" a="1"/>
  <c r="O277" i="1" a="1"/>
  <c r="O231" i="1" a="1"/>
  <c r="O343" i="1" a="1"/>
  <c r="O39" i="1" a="1"/>
  <c r="O150" i="1" a="1"/>
  <c r="O48" i="1" a="1"/>
  <c r="O2075" i="1" a="1"/>
  <c r="O695" i="1" a="1"/>
  <c r="O662" i="1" a="1"/>
  <c r="O326" i="1" a="1"/>
  <c r="O1213" i="1" a="1"/>
  <c r="O788" i="1" a="1"/>
  <c r="O505" i="1" a="1"/>
  <c r="O403" i="1" a="1"/>
  <c r="O11" i="1" a="1"/>
  <c r="O335" i="1" a="1"/>
  <c r="O79" i="1" a="1"/>
  <c r="O148" i="1" a="1"/>
  <c r="O96" i="1" a="1"/>
  <c r="O8" i="1" a="1"/>
  <c r="O1736" i="1" a="1"/>
  <c r="O1197" i="1" a="1"/>
  <c r="O454" i="1" a="1"/>
  <c r="O751" i="1" a="1"/>
  <c r="O814" i="1" a="1"/>
  <c r="O701" i="1" a="1"/>
  <c r="O605" i="1" a="1"/>
  <c r="O206" i="1" a="1"/>
  <c r="O215" i="1" a="1"/>
  <c r="O133" i="1" a="1"/>
  <c r="O285" i="1" a="1"/>
  <c r="O90" i="1" a="1"/>
  <c r="O6" i="1" a="1"/>
  <c r="O425" i="1" a="1"/>
  <c r="O275" i="1" a="1"/>
  <c r="O279" i="1" a="1"/>
  <c r="O351" i="1" a="1"/>
  <c r="O219" i="1" a="1"/>
  <c r="O43" i="1" a="1"/>
  <c r="O221" i="1" a="1"/>
  <c r="O128" i="1" a="1"/>
  <c r="O74" i="1" a="1"/>
  <c r="O14" i="1" a="1"/>
  <c r="O2250" i="1" a="1"/>
  <c r="O1097" i="1" a="1"/>
  <c r="O716" i="1" a="1"/>
  <c r="O402" i="1" a="1"/>
  <c r="O749" i="1" a="1"/>
  <c r="O638" i="1" a="1"/>
  <c r="O776" i="1" a="1"/>
  <c r="O801" i="1" a="1"/>
  <c r="O519" i="1" a="1"/>
  <c r="O361" i="1" a="1"/>
  <c r="O216" i="1" a="1"/>
  <c r="O268" i="1" a="1"/>
  <c r="O37" i="1" a="1"/>
  <c r="O413" i="1" a="1"/>
  <c r="O471" i="1" a="1"/>
  <c r="O212" i="1" a="1"/>
  <c r="O83" i="1" a="1"/>
  <c r="O205" i="1" a="1"/>
  <c r="O122" i="1" a="1"/>
  <c r="O72" i="1" a="1"/>
  <c r="O10" i="1" a="1"/>
  <c r="O1978" i="1" a="1"/>
  <c r="O1529" i="1" a="1"/>
  <c r="O1377" i="1" a="1"/>
  <c r="O1050" i="1" a="1"/>
  <c r="O1293" i="1" a="1"/>
  <c r="O1288" i="1" a="1"/>
  <c r="O700" i="1" a="1"/>
  <c r="O400" i="1" a="1"/>
  <c r="O654" i="1" a="1"/>
  <c r="O923" i="1" a="1"/>
  <c r="O740" i="1" a="1"/>
  <c r="O517" i="1" a="1"/>
  <c r="O512" i="1" a="1"/>
  <c r="O353" i="1" a="1"/>
  <c r="O202" i="1" a="1"/>
  <c r="O220" i="1" a="1"/>
  <c r="O107" i="1" a="1"/>
  <c r="O224" i="1" a="1"/>
  <c r="O201" i="1" a="1"/>
  <c r="O203" i="1" a="1"/>
  <c r="O29" i="1" a="1"/>
  <c r="O294" i="1" a="1"/>
  <c r="O120" i="1" a="1"/>
  <c r="O46" i="1" a="1"/>
  <c r="O26" i="1" a="1"/>
  <c r="O2064" i="1" a="1"/>
  <c r="O1520" i="1" a="1"/>
  <c r="O1258" i="1" a="1"/>
  <c r="O1042" i="1" a="1"/>
  <c r="O1380" i="1" a="1"/>
  <c r="O1021" i="1" a="1"/>
  <c r="O620" i="1" a="1"/>
  <c r="O382" i="1" a="1"/>
  <c r="O322" i="1" a="1"/>
  <c r="O920" i="1" a="1"/>
  <c r="O671" i="1" a="1"/>
  <c r="O510" i="1" a="1"/>
  <c r="O503" i="1" a="1"/>
  <c r="O345" i="1" a="1"/>
  <c r="O556" i="1" a="1"/>
  <c r="O211" i="1" a="1"/>
  <c r="O103" i="1" a="1"/>
  <c r="O357" i="1" a="1"/>
  <c r="O455" i="1" a="1"/>
  <c r="O327" i="1" a="1"/>
  <c r="O75" i="1" a="1"/>
  <c r="O173" i="1" a="1"/>
  <c r="O118" i="1" a="1"/>
  <c r="O68" i="1" a="1"/>
  <c r="O24" i="1" a="1"/>
  <c r="O2109" i="1" a="1"/>
  <c r="O1853" i="1" a="1"/>
  <c r="O1879" i="1" a="1"/>
  <c r="O1381" i="1" a="1"/>
  <c r="O1693" i="1" a="1"/>
  <c r="O1228" i="1" a="1"/>
  <c r="O1430" i="1" a="1"/>
  <c r="O935" i="1" a="1"/>
  <c r="O1136" i="1" a="1"/>
  <c r="O1129" i="1" a="1"/>
  <c r="O851" i="1" a="1"/>
  <c r="O851" i="1" l="1"/>
  <c r="O1129" i="1"/>
  <c r="O1136" i="1"/>
  <c r="O935" i="1"/>
  <c r="O1430" i="1"/>
  <c r="O1228" i="1"/>
  <c r="O1693" i="1"/>
  <c r="O1381" i="1"/>
  <c r="O1879" i="1"/>
  <c r="O1853" i="1"/>
  <c r="O2109" i="1"/>
  <c r="O24" i="1"/>
  <c r="O68" i="1"/>
  <c r="O118" i="1"/>
  <c r="O173" i="1"/>
  <c r="O75" i="1"/>
  <c r="O327" i="1"/>
  <c r="O455" i="1"/>
  <c r="O357" i="1"/>
  <c r="O103" i="1"/>
  <c r="O211" i="1"/>
  <c r="O556" i="1"/>
  <c r="O345" i="1"/>
  <c r="O503" i="1"/>
  <c r="O510" i="1"/>
  <c r="O671" i="1"/>
  <c r="O920" i="1"/>
  <c r="O322" i="1"/>
  <c r="O382" i="1"/>
  <c r="O620" i="1"/>
  <c r="O1021" i="1"/>
  <c r="O1380" i="1"/>
  <c r="O1042" i="1"/>
  <c r="O1258" i="1"/>
  <c r="O1520" i="1"/>
  <c r="O2064" i="1"/>
  <c r="O26" i="1"/>
  <c r="O46" i="1"/>
  <c r="O120" i="1"/>
  <c r="O294" i="1"/>
  <c r="O29" i="1"/>
  <c r="O203" i="1"/>
  <c r="O201" i="1"/>
  <c r="O224" i="1"/>
  <c r="O107" i="1"/>
  <c r="O220" i="1"/>
  <c r="O202" i="1"/>
  <c r="O353" i="1"/>
  <c r="O512" i="1"/>
  <c r="O517" i="1"/>
  <c r="O740" i="1"/>
  <c r="O923" i="1"/>
  <c r="O654" i="1"/>
  <c r="O400" i="1"/>
  <c r="O700" i="1"/>
  <c r="O1288" i="1"/>
  <c r="O1293" i="1"/>
  <c r="O1050" i="1"/>
  <c r="O1377" i="1"/>
  <c r="O1529" i="1"/>
  <c r="O1978" i="1"/>
  <c r="O10" i="1"/>
  <c r="O72" i="1"/>
  <c r="O122" i="1"/>
  <c r="O205" i="1"/>
  <c r="O83" i="1"/>
  <c r="O212" i="1"/>
  <c r="O471" i="1"/>
  <c r="O413" i="1"/>
  <c r="O37" i="1"/>
  <c r="O268" i="1"/>
  <c r="O216" i="1"/>
  <c r="O361" i="1"/>
  <c r="O519" i="1"/>
  <c r="O801" i="1"/>
  <c r="O776" i="1"/>
  <c r="O638" i="1"/>
  <c r="O749" i="1"/>
  <c r="O402" i="1"/>
  <c r="O716" i="1"/>
  <c r="O1097" i="1"/>
  <c r="O2250" i="1"/>
  <c r="O14" i="1"/>
  <c r="O74" i="1"/>
  <c r="O128" i="1"/>
  <c r="O221" i="1"/>
  <c r="O43" i="1"/>
  <c r="O219" i="1"/>
  <c r="O351" i="1"/>
  <c r="O279" i="1"/>
  <c r="O275" i="1"/>
  <c r="O425" i="1"/>
  <c r="O6" i="1"/>
  <c r="O90" i="1"/>
  <c r="O285" i="1"/>
  <c r="O133" i="1"/>
  <c r="O215" i="1"/>
  <c r="O206" i="1"/>
  <c r="O605" i="1"/>
  <c r="O701" i="1"/>
  <c r="O814" i="1"/>
  <c r="O751" i="1"/>
  <c r="O454" i="1"/>
  <c r="O1197" i="1"/>
  <c r="O1736" i="1"/>
  <c r="O8" i="1"/>
  <c r="O96" i="1"/>
  <c r="O148" i="1"/>
  <c r="O79" i="1"/>
  <c r="O335" i="1"/>
  <c r="O11" i="1"/>
  <c r="O403" i="1"/>
  <c r="O505" i="1"/>
  <c r="O788" i="1"/>
  <c r="O1213" i="1"/>
  <c r="O326" i="1"/>
  <c r="O662" i="1"/>
  <c r="O695" i="1"/>
  <c r="O2075" i="1"/>
  <c r="O48" i="1"/>
  <c r="O150" i="1"/>
  <c r="O39" i="1"/>
  <c r="O343" i="1"/>
  <c r="O231" i="1"/>
  <c r="O277" i="1"/>
  <c r="O209" i="1"/>
  <c r="O798" i="1"/>
  <c r="O581" i="1"/>
  <c r="O833" i="1"/>
  <c r="O478" i="1"/>
  <c r="O1051" i="1"/>
  <c r="O1375" i="1"/>
  <c r="O1384" i="1"/>
  <c r="O2008" i="1"/>
  <c r="O52" i="1"/>
  <c r="O152" i="1"/>
  <c r="O145" i="1"/>
  <c r="O258" i="1"/>
  <c r="O41" i="1"/>
  <c r="O286" i="1"/>
  <c r="O218" i="1"/>
  <c r="O409" i="1"/>
  <c r="O811" i="1"/>
  <c r="O583" i="1"/>
  <c r="O590" i="1"/>
  <c r="O669" i="1"/>
  <c r="O623" i="1"/>
  <c r="O777" i="1"/>
  <c r="O406" i="1"/>
  <c r="O785" i="1"/>
  <c r="O1067" i="1"/>
  <c r="O736" i="1"/>
  <c r="O1221" i="1"/>
  <c r="O1534" i="1"/>
  <c r="O2105" i="1"/>
  <c r="O34" i="1"/>
  <c r="O80" i="1"/>
  <c r="O132" i="1"/>
  <c r="O230" i="1"/>
  <c r="O47" i="1"/>
  <c r="O165" i="1"/>
  <c r="O391" i="1"/>
  <c r="O265" i="1"/>
  <c r="O469" i="1"/>
  <c r="O139" i="1"/>
  <c r="O284" i="1"/>
  <c r="O266" i="1"/>
  <c r="O417" i="1"/>
  <c r="O604" i="1"/>
  <c r="O597" i="1"/>
  <c r="O595" i="1"/>
  <c r="O858" i="1"/>
  <c r="O646" i="1"/>
  <c r="O782" i="1"/>
  <c r="O428" i="1"/>
  <c r="O790" i="1"/>
  <c r="O36" i="1"/>
  <c r="O56" i="1"/>
  <c r="O106" i="1"/>
  <c r="O160" i="1"/>
  <c r="O588" i="1"/>
  <c r="O105" i="1"/>
  <c r="O267" i="1"/>
  <c r="O543" i="1"/>
  <c r="O295" i="1"/>
  <c r="O69" i="1"/>
  <c r="O559" i="1"/>
  <c r="O475" i="1"/>
  <c r="O273" i="1"/>
  <c r="O609" i="1"/>
  <c r="O602" i="1"/>
  <c r="O686" i="1"/>
  <c r="O863" i="1"/>
  <c r="O664" i="1"/>
  <c r="O918" i="1"/>
  <c r="O430" i="1"/>
  <c r="O808" i="1"/>
  <c r="O1016" i="1"/>
  <c r="O1185" i="1"/>
  <c r="O1008" i="1"/>
  <c r="O1159" i="1"/>
  <c r="O1237" i="1"/>
  <c r="O1450" i="1"/>
  <c r="O1806" i="1"/>
  <c r="O1869" i="1"/>
  <c r="O2326" i="1"/>
  <c r="O2" i="1"/>
  <c r="O20" i="1"/>
  <c r="O38" i="1"/>
  <c r="O58" i="1"/>
  <c r="O86" i="1"/>
  <c r="O112" i="1"/>
  <c r="O136" i="1"/>
  <c r="O164" i="1"/>
  <c r="O246" i="1"/>
  <c r="O7" i="1"/>
  <c r="O63" i="1"/>
  <c r="O109" i="1"/>
  <c r="O197" i="1"/>
  <c r="O276" i="1"/>
  <c r="O407" i="1"/>
  <c r="O561" i="1"/>
  <c r="O534" i="1"/>
  <c r="O341" i="1"/>
  <c r="O488" i="1"/>
  <c r="O73" i="1"/>
  <c r="O174" i="1"/>
  <c r="O568" i="1"/>
  <c r="O339" i="1"/>
  <c r="O527" i="1"/>
  <c r="O282" i="1"/>
  <c r="O287" i="1"/>
  <c r="O473" i="1"/>
  <c r="O619" i="1"/>
  <c r="O942" i="1"/>
  <c r="O678" i="1"/>
  <c r="O911" i="1"/>
  <c r="O699" i="1"/>
  <c r="O658" i="1"/>
  <c r="O868" i="1"/>
  <c r="O797" i="1"/>
  <c r="O738" i="1"/>
  <c r="O557" i="1"/>
  <c r="O964" i="1"/>
  <c r="O374" i="1"/>
  <c r="O432" i="1"/>
  <c r="O580" i="1"/>
  <c r="O894" i="1"/>
  <c r="O924" i="1"/>
  <c r="O1089" i="1"/>
  <c r="O1031" i="1"/>
  <c r="O1015" i="1"/>
  <c r="O1230" i="1"/>
  <c r="O1178" i="1"/>
  <c r="O1485" i="1"/>
  <c r="O1466" i="1"/>
  <c r="O2032" i="1"/>
  <c r="O2117" i="1"/>
  <c r="O2342" i="1"/>
  <c r="O42" i="1"/>
  <c r="O144" i="1"/>
  <c r="O17" i="1"/>
  <c r="O196" i="1"/>
  <c r="O194" i="1"/>
  <c r="O5" i="1"/>
  <c r="O395" i="1"/>
  <c r="O504" i="1"/>
  <c r="O719" i="1"/>
  <c r="O1088" i="1"/>
  <c r="O649" i="1"/>
  <c r="O657" i="1"/>
  <c r="O1128" i="1"/>
  <c r="O2059" i="1"/>
  <c r="O70" i="1"/>
  <c r="O182" i="1"/>
  <c r="O137" i="1"/>
  <c r="O463" i="1"/>
  <c r="O405" i="1"/>
  <c r="O270" i="1"/>
  <c r="O168" i="1"/>
  <c r="O729" i="1"/>
  <c r="O845" i="1"/>
  <c r="O820" i="1"/>
  <c r="O460" i="1"/>
  <c r="O1041" i="1"/>
  <c r="O1627" i="1"/>
  <c r="O30" i="1"/>
  <c r="O100" i="1"/>
  <c r="O301" i="1"/>
  <c r="O141" i="1"/>
  <c r="O249" i="1"/>
  <c r="O111" i="1"/>
  <c r="O411" i="1"/>
  <c r="O514" i="1"/>
  <c r="O884" i="1"/>
  <c r="O981" i="1"/>
  <c r="O332" i="1"/>
  <c r="O690" i="1"/>
  <c r="O727" i="1"/>
  <c r="O1068" i="1"/>
  <c r="O1511" i="1"/>
  <c r="O1643" i="1"/>
  <c r="O32" i="1"/>
  <c r="O102" i="1"/>
  <c r="O490" i="1"/>
  <c r="O93" i="1"/>
  <c r="O479" i="1"/>
  <c r="O421" i="1"/>
  <c r="O135" i="1"/>
  <c r="O459" i="1"/>
  <c r="O223" i="1"/>
  <c r="O521" i="1"/>
  <c r="O806" i="1"/>
  <c r="O1126" i="1"/>
  <c r="O786" i="1"/>
  <c r="O838" i="1"/>
  <c r="O350" i="1"/>
  <c r="O480" i="1"/>
  <c r="O748" i="1"/>
  <c r="O987" i="1"/>
  <c r="O1378" i="1"/>
  <c r="O1528" i="1"/>
  <c r="O1845" i="1"/>
  <c r="O2024" i="1"/>
  <c r="O16" i="1"/>
  <c r="O54" i="1"/>
  <c r="O104" i="1"/>
  <c r="O154" i="1"/>
  <c r="O525" i="1"/>
  <c r="O101" i="1"/>
  <c r="O260" i="1"/>
  <c r="O540" i="1"/>
  <c r="O288" i="1"/>
  <c r="O45" i="1"/>
  <c r="O541" i="1"/>
  <c r="O467" i="1"/>
  <c r="O232" i="1"/>
  <c r="O821" i="1"/>
  <c r="O881" i="1"/>
  <c r="O1137" i="1"/>
  <c r="O697" i="1"/>
  <c r="O974" i="1"/>
  <c r="O352" i="1"/>
  <c r="O482" i="1"/>
  <c r="O18" i="1"/>
  <c r="O84" i="1"/>
  <c r="O134" i="1"/>
  <c r="O237" i="1"/>
  <c r="O51" i="1"/>
  <c r="O190" i="1"/>
  <c r="O399" i="1"/>
  <c r="O502" i="1"/>
  <c r="O477" i="1"/>
  <c r="O143" i="1"/>
  <c r="O331" i="1"/>
  <c r="O280" i="1"/>
  <c r="O927" i="1"/>
  <c r="O900" i="1"/>
  <c r="O1156" i="1"/>
  <c r="O789" i="1"/>
  <c r="O1161" i="1"/>
  <c r="O354" i="1"/>
  <c r="O555" i="1"/>
  <c r="O892" i="1"/>
  <c r="O1469" i="1"/>
  <c r="O4" i="1"/>
  <c r="O22" i="1"/>
  <c r="O40" i="1"/>
  <c r="O64" i="1"/>
  <c r="O88" i="1"/>
  <c r="O116" i="1"/>
  <c r="O138" i="1"/>
  <c r="O166" i="1"/>
  <c r="O269" i="1"/>
  <c r="O13" i="1"/>
  <c r="O71" i="1"/>
  <c r="O115" i="1"/>
  <c r="O222" i="1"/>
  <c r="O283" i="1"/>
  <c r="O415" i="1"/>
  <c r="O185" i="1"/>
  <c r="O167" i="1"/>
  <c r="O349" i="1"/>
  <c r="O600" i="1"/>
  <c r="O77" i="1"/>
  <c r="O181" i="1"/>
  <c r="O204" i="1"/>
  <c r="O347" i="1"/>
  <c r="O547" i="1"/>
  <c r="O550" i="1"/>
  <c r="O296" i="1"/>
  <c r="O481" i="1"/>
  <c r="O693" i="1"/>
  <c r="O990" i="1"/>
  <c r="O714" i="1"/>
  <c r="O485" i="1"/>
  <c r="O709" i="1"/>
  <c r="O666" i="1"/>
  <c r="O1077" i="1"/>
  <c r="O825" i="1"/>
  <c r="O746" i="1"/>
  <c r="O621" i="1"/>
  <c r="O1022" i="1"/>
  <c r="O380" i="1"/>
  <c r="O450" i="1"/>
  <c r="O587" i="1"/>
  <c r="O913" i="1"/>
  <c r="O1121" i="1"/>
  <c r="O1176" i="1"/>
  <c r="O1039" i="1"/>
  <c r="O1371" i="1"/>
  <c r="O1239" i="1"/>
  <c r="O1251" i="1"/>
  <c r="O1607" i="1"/>
  <c r="O1482" i="1"/>
  <c r="O2048" i="1"/>
  <c r="O2043" i="1"/>
  <c r="O2393" i="1"/>
  <c r="O3" i="1"/>
  <c r="O274" i="1"/>
  <c r="O240" i="1"/>
  <c r="O304" i="1"/>
  <c r="O429" i="1"/>
  <c r="O497" i="1"/>
  <c r="O15" i="1"/>
  <c r="O49" i="1"/>
  <c r="O81" i="1"/>
  <c r="O113" i="1"/>
  <c r="O147" i="1"/>
  <c r="O213" i="1"/>
  <c r="O293" i="1"/>
  <c r="O579" i="1"/>
  <c r="O227" i="1"/>
  <c r="O291" i="1"/>
  <c r="O355" i="1"/>
  <c r="O419" i="1"/>
  <c r="O483" i="1"/>
  <c r="O572" i="1"/>
  <c r="O225" i="1"/>
  <c r="O289" i="1"/>
  <c r="O175" i="1"/>
  <c r="O239" i="1"/>
  <c r="O303" i="1"/>
  <c r="O369" i="1"/>
  <c r="O433" i="1"/>
  <c r="O513" i="1"/>
  <c r="O553" i="1"/>
  <c r="O629" i="1"/>
  <c r="O734" i="1"/>
  <c r="O862" i="1"/>
  <c r="O1053" i="1"/>
  <c r="O528" i="1"/>
  <c r="O642" i="1"/>
  <c r="O724" i="1"/>
  <c r="O824" i="1"/>
  <c r="O936" i="1"/>
  <c r="O526" i="1"/>
  <c r="O607" i="1"/>
  <c r="O750" i="1"/>
  <c r="O895" i="1"/>
  <c r="O1167" i="1"/>
  <c r="O694" i="1"/>
  <c r="O794" i="1"/>
  <c r="O879" i="1"/>
  <c r="O577" i="1"/>
  <c r="O702" i="1"/>
  <c r="O830" i="1"/>
  <c r="O575" i="1"/>
  <c r="O674" i="1"/>
  <c r="O756" i="1"/>
  <c r="O885" i="1"/>
  <c r="O566" i="1"/>
  <c r="O667" i="1"/>
  <c r="O813" i="1"/>
  <c r="O1037" i="1"/>
  <c r="O334" i="1"/>
  <c r="O358" i="1"/>
  <c r="O384" i="1"/>
  <c r="O412" i="1"/>
  <c r="O434" i="1"/>
  <c r="O462" i="1"/>
  <c r="O491" i="1"/>
  <c r="O594" i="1"/>
  <c r="O708" i="1"/>
  <c r="O818" i="1"/>
  <c r="O627" i="1"/>
  <c r="O755" i="1"/>
  <c r="O956" i="1"/>
  <c r="O929" i="1"/>
  <c r="O1135" i="1"/>
  <c r="O1206" i="1"/>
  <c r="O1103" i="1"/>
  <c r="O1204" i="1"/>
  <c r="O1158" i="1"/>
  <c r="O807" i="1"/>
  <c r="O1112" i="1"/>
  <c r="O1300" i="1"/>
  <c r="O1289" i="1"/>
  <c r="O1246" i="1"/>
  <c r="O1070" i="1"/>
  <c r="O1376" i="1"/>
  <c r="O1267" i="1"/>
  <c r="O1553" i="1"/>
  <c r="O1624" i="1"/>
  <c r="O1552" i="1"/>
  <c r="O1388" i="1"/>
  <c r="O1596" i="1"/>
  <c r="O1659" i="1"/>
  <c r="O1822" i="1"/>
  <c r="O2087" i="1"/>
  <c r="O2040" i="1"/>
  <c r="O2139" i="1"/>
  <c r="O2176" i="1"/>
  <c r="O2118" i="1"/>
  <c r="O2311" i="1"/>
  <c r="O210" i="1"/>
  <c r="O176" i="1"/>
  <c r="O365" i="1"/>
  <c r="O12" i="1"/>
  <c r="O28" i="1"/>
  <c r="O44" i="1"/>
  <c r="O60" i="1"/>
  <c r="O76" i="1"/>
  <c r="O92" i="1"/>
  <c r="O108" i="1"/>
  <c r="O124" i="1"/>
  <c r="O140" i="1"/>
  <c r="O156" i="1"/>
  <c r="O189" i="1"/>
  <c r="O253" i="1"/>
  <c r="O493" i="1"/>
  <c r="O23" i="1"/>
  <c r="O53" i="1"/>
  <c r="O87" i="1"/>
  <c r="O119" i="1"/>
  <c r="O149" i="1"/>
  <c r="O229" i="1"/>
  <c r="O228" i="1"/>
  <c r="O292" i="1"/>
  <c r="O359" i="1"/>
  <c r="O423" i="1"/>
  <c r="O499" i="1"/>
  <c r="O9" i="1"/>
  <c r="O217" i="1"/>
  <c r="O281" i="1"/>
  <c r="O183" i="1"/>
  <c r="O247" i="1"/>
  <c r="O309" i="1"/>
  <c r="O373" i="1"/>
  <c r="O437" i="1"/>
  <c r="O520" i="1"/>
  <c r="O21" i="1"/>
  <c r="O55" i="1"/>
  <c r="O85" i="1"/>
  <c r="O117" i="1"/>
  <c r="O151" i="1"/>
  <c r="O238" i="1"/>
  <c r="O302" i="1"/>
  <c r="O172" i="1"/>
  <c r="O236" i="1"/>
  <c r="O300" i="1"/>
  <c r="O363" i="1"/>
  <c r="O427" i="1"/>
  <c r="O492" i="1"/>
  <c r="O170" i="1"/>
  <c r="O234" i="1"/>
  <c r="O298" i="1"/>
  <c r="O184" i="1"/>
  <c r="O248" i="1"/>
  <c r="O313" i="1"/>
  <c r="O377" i="1"/>
  <c r="O441" i="1"/>
  <c r="O536" i="1"/>
  <c r="O562" i="1"/>
  <c r="O637" i="1"/>
  <c r="O747" i="1"/>
  <c r="O878" i="1"/>
  <c r="O489" i="1"/>
  <c r="O535" i="1"/>
  <c r="O650" i="1"/>
  <c r="O737" i="1"/>
  <c r="O834" i="1"/>
  <c r="O955" i="1"/>
  <c r="O533" i="1"/>
  <c r="O617" i="1"/>
  <c r="O763" i="1"/>
  <c r="O906" i="1"/>
  <c r="O1186" i="1"/>
  <c r="O712" i="1"/>
  <c r="O799" i="1"/>
  <c r="O890" i="1"/>
  <c r="O586" i="1"/>
  <c r="O715" i="1"/>
  <c r="O843" i="1"/>
  <c r="O584" i="1"/>
  <c r="O682" i="1"/>
  <c r="O769" i="1"/>
  <c r="O904" i="1"/>
  <c r="O573" i="1"/>
  <c r="O677" i="1"/>
  <c r="O841" i="1"/>
  <c r="O310" i="1"/>
  <c r="O336" i="1"/>
  <c r="O364" i="1"/>
  <c r="O386" i="1"/>
  <c r="O414" i="1"/>
  <c r="O438" i="1"/>
  <c r="O464" i="1"/>
  <c r="O516" i="1"/>
  <c r="O606" i="1"/>
  <c r="O721" i="1"/>
  <c r="O831" i="1"/>
  <c r="O636" i="1"/>
  <c r="O764" i="1"/>
  <c r="O963" i="1"/>
  <c r="O938" i="1"/>
  <c r="O1154" i="1"/>
  <c r="O1211" i="1"/>
  <c r="O1160" i="1"/>
  <c r="O914" i="1"/>
  <c r="O1193" i="1"/>
  <c r="O816" i="1"/>
  <c r="O1385" i="1"/>
  <c r="O1357" i="1"/>
  <c r="O1296" i="1"/>
  <c r="O1355" i="1"/>
  <c r="O1072" i="1"/>
  <c r="O1405" i="1"/>
  <c r="O1350" i="1"/>
  <c r="O1569" i="1"/>
  <c r="O1711" i="1"/>
  <c r="O1706" i="1"/>
  <c r="O1413" i="1"/>
  <c r="O1600" i="1"/>
  <c r="O1696" i="1"/>
  <c r="O1834" i="1"/>
  <c r="O2100" i="1"/>
  <c r="O1926" i="1"/>
  <c r="O2158" i="1"/>
  <c r="O2192" i="1"/>
  <c r="O2173" i="1"/>
  <c r="O2327" i="1"/>
  <c r="O62" i="1"/>
  <c r="O78" i="1"/>
  <c r="O94" i="1"/>
  <c r="O110" i="1"/>
  <c r="O126" i="1"/>
  <c r="O142" i="1"/>
  <c r="O158" i="1"/>
  <c r="O198" i="1"/>
  <c r="O262" i="1"/>
  <c r="O522" i="1"/>
  <c r="O25" i="1"/>
  <c r="O59" i="1"/>
  <c r="O91" i="1"/>
  <c r="O123" i="1"/>
  <c r="O155" i="1"/>
  <c r="O171" i="1"/>
  <c r="O235" i="1"/>
  <c r="O299" i="1"/>
  <c r="O367" i="1"/>
  <c r="O431" i="1"/>
  <c r="O508" i="1"/>
  <c r="O19" i="1"/>
  <c r="O226" i="1"/>
  <c r="O290" i="1"/>
  <c r="O192" i="1"/>
  <c r="O256" i="1"/>
  <c r="O317" i="1"/>
  <c r="O381" i="1"/>
  <c r="O445" i="1"/>
  <c r="O529" i="1"/>
  <c r="O27" i="1"/>
  <c r="O57" i="1"/>
  <c r="O89" i="1"/>
  <c r="O121" i="1"/>
  <c r="O153" i="1"/>
  <c r="O245" i="1"/>
  <c r="O506" i="1"/>
  <c r="O179" i="1"/>
  <c r="O243" i="1"/>
  <c r="O307" i="1"/>
  <c r="O371" i="1"/>
  <c r="O435" i="1"/>
  <c r="O495" i="1"/>
  <c r="O177" i="1"/>
  <c r="O241" i="1"/>
  <c r="O305" i="1"/>
  <c r="O191" i="1"/>
  <c r="O255" i="1"/>
  <c r="O321" i="1"/>
  <c r="O385" i="1"/>
  <c r="O449" i="1"/>
  <c r="O545" i="1"/>
  <c r="O569" i="1"/>
  <c r="O665" i="1"/>
  <c r="O757" i="1"/>
  <c r="O886" i="1"/>
  <c r="O530" i="1"/>
  <c r="O560" i="1"/>
  <c r="O655" i="1"/>
  <c r="O742" i="1"/>
  <c r="O852" i="1"/>
  <c r="O958" i="1"/>
  <c r="O542" i="1"/>
  <c r="O645" i="1"/>
  <c r="O773" i="1"/>
  <c r="O909" i="1"/>
  <c r="O625" i="1"/>
  <c r="O722" i="1"/>
  <c r="O804" i="1"/>
  <c r="O934" i="1"/>
  <c r="O603" i="1"/>
  <c r="O725" i="1"/>
  <c r="O874" i="1"/>
  <c r="O591" i="1"/>
  <c r="O687" i="1"/>
  <c r="O802" i="1"/>
  <c r="O907" i="1"/>
  <c r="O582" i="1"/>
  <c r="O718" i="1"/>
  <c r="O846" i="1"/>
  <c r="O316" i="1"/>
  <c r="O338" i="1"/>
  <c r="O366" i="1"/>
  <c r="O390" i="1"/>
  <c r="O416" i="1"/>
  <c r="O444" i="1"/>
  <c r="O466" i="1"/>
  <c r="O523" i="1"/>
  <c r="O616" i="1"/>
  <c r="O726" i="1"/>
  <c r="O854" i="1"/>
  <c r="O652" i="1"/>
  <c r="O780" i="1"/>
  <c r="O979" i="1"/>
  <c r="O954" i="1"/>
  <c r="O1249" i="1"/>
  <c r="O950" i="1"/>
  <c r="O1195" i="1"/>
  <c r="O921" i="1"/>
  <c r="O608" i="1"/>
  <c r="O823" i="1"/>
  <c r="O1417" i="1"/>
  <c r="O1275" i="1"/>
  <c r="O1305" i="1"/>
  <c r="O1364" i="1"/>
  <c r="O1109" i="1"/>
  <c r="O1408" i="1"/>
  <c r="O1391" i="1"/>
  <c r="O1462" i="1"/>
  <c r="O1467" i="1"/>
  <c r="O1342" i="1"/>
  <c r="O1663" i="1"/>
  <c r="O1604" i="1"/>
  <c r="O1712" i="1"/>
  <c r="O1884" i="1"/>
  <c r="O2113" i="1"/>
  <c r="O1942" i="1"/>
  <c r="O1811" i="1"/>
  <c r="O2206" i="1"/>
  <c r="O2189" i="1"/>
  <c r="O2286" i="1"/>
  <c r="O127" i="1"/>
  <c r="O159" i="1"/>
  <c r="O180" i="1"/>
  <c r="O244" i="1"/>
  <c r="O311" i="1"/>
  <c r="O375" i="1"/>
  <c r="O439" i="1"/>
  <c r="O511" i="1"/>
  <c r="O169" i="1"/>
  <c r="O233" i="1"/>
  <c r="O297" i="1"/>
  <c r="O199" i="1"/>
  <c r="O263" i="1"/>
  <c r="O325" i="1"/>
  <c r="O389" i="1"/>
  <c r="O453" i="1"/>
  <c r="O552" i="1"/>
  <c r="O31" i="1"/>
  <c r="O61" i="1"/>
  <c r="O95" i="1"/>
  <c r="O125" i="1"/>
  <c r="O157" i="1"/>
  <c r="O254" i="1"/>
  <c r="O509" i="1"/>
  <c r="O188" i="1"/>
  <c r="O252" i="1"/>
  <c r="O315" i="1"/>
  <c r="O379" i="1"/>
  <c r="O443" i="1"/>
  <c r="O515" i="1"/>
  <c r="O186" i="1"/>
  <c r="O250" i="1"/>
  <c r="O486" i="1"/>
  <c r="O200" i="1"/>
  <c r="O264" i="1"/>
  <c r="O329" i="1"/>
  <c r="O393" i="1"/>
  <c r="O457" i="1"/>
  <c r="O563" i="1"/>
  <c r="O578" i="1"/>
  <c r="O670" i="1"/>
  <c r="O765" i="1"/>
  <c r="O897" i="1"/>
  <c r="O537" i="1"/>
  <c r="O567" i="1"/>
  <c r="O660" i="1"/>
  <c r="O760" i="1"/>
  <c r="O865" i="1"/>
  <c r="O965" i="1"/>
  <c r="O549" i="1"/>
  <c r="O653" i="1"/>
  <c r="O781" i="1"/>
  <c r="O949" i="1"/>
  <c r="O630" i="1"/>
  <c r="O730" i="1"/>
  <c r="O817" i="1"/>
  <c r="O943" i="1"/>
  <c r="O610" i="1"/>
  <c r="O733" i="1"/>
  <c r="O877" i="1"/>
  <c r="O598" i="1"/>
  <c r="O692" i="1"/>
  <c r="O810" i="1"/>
  <c r="O926" i="1"/>
  <c r="O589" i="1"/>
  <c r="O731" i="1"/>
  <c r="O859" i="1"/>
  <c r="O318" i="1"/>
  <c r="O342" i="1"/>
  <c r="O368" i="1"/>
  <c r="O396" i="1"/>
  <c r="O418" i="1"/>
  <c r="O446" i="1"/>
  <c r="O470" i="1"/>
  <c r="O532" i="1"/>
  <c r="O639" i="1"/>
  <c r="O744" i="1"/>
  <c r="O872" i="1"/>
  <c r="O684" i="1"/>
  <c r="O835" i="1"/>
  <c r="O1110" i="1"/>
  <c r="O1009" i="1"/>
  <c r="O975" i="1"/>
  <c r="O1005" i="1"/>
  <c r="O971" i="1"/>
  <c r="O930" i="1"/>
  <c r="O615" i="1"/>
  <c r="O919" i="1"/>
  <c r="O1247" i="1"/>
  <c r="O1282" i="1"/>
  <c r="O1118" i="1"/>
  <c r="O1387" i="1"/>
  <c r="O1141" i="1"/>
  <c r="O1139" i="1"/>
  <c r="O1394" i="1"/>
  <c r="O1478" i="1"/>
  <c r="O1570" i="1"/>
  <c r="O1383" i="1"/>
  <c r="O1695" i="1"/>
  <c r="O1747" i="1"/>
  <c r="O1728" i="1"/>
  <c r="O1916" i="1"/>
  <c r="O1946" i="1"/>
  <c r="O1958" i="1"/>
  <c r="O1815" i="1"/>
  <c r="O2317" i="1"/>
  <c r="O2208" i="1"/>
  <c r="O2302" i="1"/>
  <c r="O50" i="1"/>
  <c r="O66" i="1"/>
  <c r="O82" i="1"/>
  <c r="O98" i="1"/>
  <c r="O114" i="1"/>
  <c r="O130" i="1"/>
  <c r="O146" i="1"/>
  <c r="O162" i="1"/>
  <c r="O214" i="1"/>
  <c r="O278" i="1"/>
  <c r="O554" i="1"/>
  <c r="O33" i="1"/>
  <c r="O67" i="1"/>
  <c r="O97" i="1"/>
  <c r="O131" i="1"/>
  <c r="O163" i="1"/>
  <c r="O187" i="1"/>
  <c r="O251" i="1"/>
  <c r="O319" i="1"/>
  <c r="O383" i="1"/>
  <c r="O447" i="1"/>
  <c r="O531" i="1"/>
  <c r="O178" i="1"/>
  <c r="O242" i="1"/>
  <c r="O306" i="1"/>
  <c r="O208" i="1"/>
  <c r="O272" i="1"/>
  <c r="O333" i="1"/>
  <c r="O397" i="1"/>
  <c r="O461" i="1"/>
  <c r="O593" i="1"/>
  <c r="O35" i="1"/>
  <c r="O65" i="1"/>
  <c r="O99" i="1"/>
  <c r="O129" i="1"/>
  <c r="O161" i="1"/>
  <c r="O261" i="1"/>
  <c r="O538" i="1"/>
  <c r="O195" i="1"/>
  <c r="O259" i="1"/>
  <c r="O323" i="1"/>
  <c r="O387" i="1"/>
  <c r="O451" i="1"/>
  <c r="O524" i="1"/>
  <c r="O193" i="1"/>
  <c r="O257" i="1"/>
  <c r="O518" i="1"/>
  <c r="O207" i="1"/>
  <c r="O271" i="1"/>
  <c r="O337" i="1"/>
  <c r="O401" i="1"/>
  <c r="O465" i="1"/>
  <c r="O498" i="1"/>
  <c r="O585" i="1"/>
  <c r="O683" i="1"/>
  <c r="O793" i="1"/>
  <c r="O916" i="1"/>
  <c r="O496" i="1"/>
  <c r="O576" i="1"/>
  <c r="O673" i="1"/>
  <c r="O783" i="1"/>
  <c r="O870" i="1"/>
  <c r="O1061" i="1"/>
  <c r="O574" i="1"/>
  <c r="O681" i="1"/>
  <c r="O809" i="1"/>
  <c r="O1069" i="1"/>
  <c r="O648" i="1"/>
  <c r="O735" i="1"/>
  <c r="O850" i="1"/>
  <c r="O1006" i="1"/>
  <c r="O633" i="1"/>
  <c r="O779" i="1"/>
  <c r="O901" i="1"/>
  <c r="O618" i="1"/>
  <c r="O728" i="1"/>
  <c r="O815" i="1"/>
  <c r="O932" i="1"/>
  <c r="O613" i="1"/>
  <c r="O741" i="1"/>
  <c r="O888" i="1"/>
  <c r="O320" i="1"/>
  <c r="O348" i="1"/>
  <c r="O370" i="1"/>
  <c r="O398" i="1"/>
  <c r="O422" i="1"/>
  <c r="O448" i="1"/>
  <c r="O476" i="1"/>
  <c r="O539" i="1"/>
  <c r="O644" i="1"/>
  <c r="O762" i="1"/>
  <c r="O875" i="1"/>
  <c r="O691" i="1"/>
  <c r="O844" i="1"/>
  <c r="O1115" i="1"/>
  <c r="O1018" i="1"/>
  <c r="O1007" i="1"/>
  <c r="O1014" i="1"/>
  <c r="O980" i="1"/>
  <c r="O1026" i="1"/>
  <c r="O624" i="1"/>
  <c r="O928" i="1"/>
  <c r="O1320" i="1"/>
  <c r="O1291" i="1"/>
  <c r="O1150" i="1"/>
  <c r="O1040" i="1"/>
  <c r="O1148" i="1"/>
  <c r="O1146" i="1"/>
  <c r="O1368" i="1"/>
  <c r="O1526" i="1"/>
  <c r="O1591" i="1"/>
  <c r="O1502" i="1"/>
  <c r="O1722" i="1"/>
  <c r="O1859" i="1"/>
  <c r="O1784" i="1"/>
  <c r="O1953" i="1"/>
  <c r="O1962" i="1"/>
  <c r="O1837" i="1"/>
  <c r="O1819" i="1"/>
  <c r="O2362" i="1"/>
  <c r="O2383" i="1"/>
  <c r="O2318" i="1"/>
  <c r="O869" i="1"/>
  <c r="O308" i="1"/>
  <c r="O324" i="1"/>
  <c r="O340" i="1"/>
  <c r="O356" i="1"/>
  <c r="O372" i="1"/>
  <c r="O388" i="1"/>
  <c r="O404" i="1"/>
  <c r="O420" i="1"/>
  <c r="O436" i="1"/>
  <c r="O452" i="1"/>
  <c r="O468" i="1"/>
  <c r="O484" i="1"/>
  <c r="O548" i="1"/>
  <c r="O611" i="1"/>
  <c r="O680" i="1"/>
  <c r="O754" i="1"/>
  <c r="O826" i="1"/>
  <c r="O902" i="1"/>
  <c r="O643" i="1"/>
  <c r="O707" i="1"/>
  <c r="O771" i="1"/>
  <c r="O860" i="1"/>
  <c r="O972" i="1"/>
  <c r="O1170" i="1"/>
  <c r="O945" i="1"/>
  <c r="O1059" i="1"/>
  <c r="O1181" i="1"/>
  <c r="O1023" i="1"/>
  <c r="O941" i="1"/>
  <c r="O1033" i="1"/>
  <c r="O1190" i="1"/>
  <c r="O996" i="1"/>
  <c r="O1209" i="1"/>
  <c r="O962" i="1"/>
  <c r="O1047" i="1"/>
  <c r="O1199" i="1"/>
  <c r="O631" i="1"/>
  <c r="O743" i="1"/>
  <c r="O855" i="1"/>
  <c r="O944" i="1"/>
  <c r="O1142" i="1"/>
  <c r="O1254" i="1"/>
  <c r="O1403" i="1"/>
  <c r="O1421" i="1"/>
  <c r="O1298" i="1"/>
  <c r="O1439" i="1"/>
  <c r="O1337" i="1"/>
  <c r="O1166" i="1"/>
  <c r="O1278" i="1"/>
  <c r="O1396" i="1"/>
  <c r="O1052" i="1"/>
  <c r="O1074" i="1"/>
  <c r="O1157" i="1"/>
  <c r="O1269" i="1"/>
  <c r="O1437" i="1"/>
  <c r="O1187" i="1"/>
  <c r="O1274" i="1"/>
  <c r="O1414" i="1"/>
  <c r="O1441" i="1"/>
  <c r="O1576" i="1"/>
  <c r="O1542" i="1"/>
  <c r="O1492" i="1"/>
  <c r="O1483" i="1"/>
  <c r="O1700" i="1"/>
  <c r="O1568" i="1"/>
  <c r="O1406" i="1"/>
  <c r="O1550" i="1"/>
  <c r="O1429" i="1"/>
  <c r="O1307" i="1"/>
  <c r="O1491" i="1"/>
  <c r="O1606" i="1"/>
  <c r="O1745" i="1"/>
  <c r="O1666" i="1"/>
  <c r="O1737" i="1"/>
  <c r="O1914" i="1"/>
  <c r="O1854" i="1"/>
  <c r="O1960" i="1"/>
  <c r="O2073" i="1"/>
  <c r="O2129" i="1"/>
  <c r="O1987" i="1"/>
  <c r="O2049" i="1"/>
  <c r="O1967" i="1"/>
  <c r="O1876" i="1"/>
  <c r="O2177" i="1"/>
  <c r="O1826" i="1"/>
  <c r="O2082" i="1"/>
  <c r="O2214" i="1"/>
  <c r="O2258" i="1"/>
  <c r="O2127" i="1"/>
  <c r="O2216" i="1"/>
  <c r="O2349" i="1"/>
  <c r="O2336" i="1"/>
  <c r="O2325" i="1"/>
  <c r="O1028" i="1"/>
  <c r="O1215" i="1"/>
  <c r="O969" i="1"/>
  <c r="O1055" i="1"/>
  <c r="O1218" i="1"/>
  <c r="O663" i="1"/>
  <c r="O752" i="1"/>
  <c r="O864" i="1"/>
  <c r="O951" i="1"/>
  <c r="O1147" i="1"/>
  <c r="O1286" i="1"/>
  <c r="O1412" i="1"/>
  <c r="O1424" i="1"/>
  <c r="O1310" i="1"/>
  <c r="O1442" i="1"/>
  <c r="O1086" i="1"/>
  <c r="O1175" i="1"/>
  <c r="O1287" i="1"/>
  <c r="O1419" i="1"/>
  <c r="O1054" i="1"/>
  <c r="O1082" i="1"/>
  <c r="O1164" i="1"/>
  <c r="O1276" i="1"/>
  <c r="O1440" i="1"/>
  <c r="O1194" i="1"/>
  <c r="O1306" i="1"/>
  <c r="O1423" i="1"/>
  <c r="O1448" i="1"/>
  <c r="O1585" i="1"/>
  <c r="O1551" i="1"/>
  <c r="O1549" i="1"/>
  <c r="O1490" i="1"/>
  <c r="O1731" i="1"/>
  <c r="O1577" i="1"/>
  <c r="O1422" i="1"/>
  <c r="O1597" i="1"/>
  <c r="O1493" i="1"/>
  <c r="O1329" i="1"/>
  <c r="O1578" i="1"/>
  <c r="O1676" i="1"/>
  <c r="O1750" i="1"/>
  <c r="O1753" i="1"/>
  <c r="O1639" i="1"/>
  <c r="O1941" i="1"/>
  <c r="O1857" i="1"/>
  <c r="O1904" i="1"/>
  <c r="O1959" i="1"/>
  <c r="O2037" i="1"/>
  <c r="O2074" i="1"/>
  <c r="O2179" i="1"/>
  <c r="O2054" i="1"/>
  <c r="O1965" i="1"/>
  <c r="O1779" i="1"/>
  <c r="O1915" i="1"/>
  <c r="O2194" i="1"/>
  <c r="O2263" i="1"/>
  <c r="O2242" i="1"/>
  <c r="O2256" i="1"/>
  <c r="O2255" i="1"/>
  <c r="O2363" i="1"/>
  <c r="O2211" i="1"/>
  <c r="O2243" i="1"/>
  <c r="O829" i="1"/>
  <c r="O933" i="1"/>
  <c r="O546" i="1"/>
  <c r="O544" i="1"/>
  <c r="O614" i="1"/>
  <c r="O696" i="1"/>
  <c r="O770" i="1"/>
  <c r="O842" i="1"/>
  <c r="O922" i="1"/>
  <c r="O494" i="1"/>
  <c r="O558" i="1"/>
  <c r="O622" i="1"/>
  <c r="O717" i="1"/>
  <c r="O827" i="1"/>
  <c r="O952" i="1"/>
  <c r="O1216" i="1"/>
  <c r="O676" i="1"/>
  <c r="O753" i="1"/>
  <c r="O822" i="1"/>
  <c r="O893" i="1"/>
  <c r="O1224" i="1"/>
  <c r="O651" i="1"/>
  <c r="O761" i="1"/>
  <c r="O853" i="1"/>
  <c r="O1085" i="1"/>
  <c r="O628" i="1"/>
  <c r="O705" i="1"/>
  <c r="O774" i="1"/>
  <c r="O856" i="1"/>
  <c r="O1029" i="1"/>
  <c r="O596" i="1"/>
  <c r="O685" i="1"/>
  <c r="O795" i="1"/>
  <c r="O891" i="1"/>
  <c r="O312" i="1"/>
  <c r="O328" i="1"/>
  <c r="O344" i="1"/>
  <c r="O360" i="1"/>
  <c r="O376" i="1"/>
  <c r="O392" i="1"/>
  <c r="O408" i="1"/>
  <c r="O424" i="1"/>
  <c r="O440" i="1"/>
  <c r="O456" i="1"/>
  <c r="O472" i="1"/>
  <c r="O500" i="1"/>
  <c r="O564" i="1"/>
  <c r="O626" i="1"/>
  <c r="O698" i="1"/>
  <c r="O767" i="1"/>
  <c r="O836" i="1"/>
  <c r="O948" i="1"/>
  <c r="O659" i="1"/>
  <c r="O723" i="1"/>
  <c r="O787" i="1"/>
  <c r="O899" i="1"/>
  <c r="O988" i="1"/>
  <c r="O1200" i="1"/>
  <c r="O986" i="1"/>
  <c r="O1075" i="1"/>
  <c r="O1281" i="1"/>
  <c r="O1108" i="1"/>
  <c r="O957" i="1"/>
  <c r="O1073" i="1"/>
  <c r="O1201" i="1"/>
  <c r="O1087" i="1"/>
  <c r="O1297" i="1"/>
  <c r="O978" i="1"/>
  <c r="O1090" i="1"/>
  <c r="O1229" i="1"/>
  <c r="O672" i="1"/>
  <c r="O759" i="1"/>
  <c r="O871" i="1"/>
  <c r="O983" i="1"/>
  <c r="O1153" i="1"/>
  <c r="O1295" i="1"/>
  <c r="O1435" i="1"/>
  <c r="O1227" i="1"/>
  <c r="O1343" i="1"/>
  <c r="O1241" i="1"/>
  <c r="O1095" i="1"/>
  <c r="O1182" i="1"/>
  <c r="O1294" i="1"/>
  <c r="O1034" i="1"/>
  <c r="O1056" i="1"/>
  <c r="O1084" i="1"/>
  <c r="O1173" i="1"/>
  <c r="O1285" i="1"/>
  <c r="O1114" i="1"/>
  <c r="O1203" i="1"/>
  <c r="O1314" i="1"/>
  <c r="O1426" i="1"/>
  <c r="O1457" i="1"/>
  <c r="O1690" i="1"/>
  <c r="O1558" i="1"/>
  <c r="O1556" i="1"/>
  <c r="O1499" i="1"/>
  <c r="O1449" i="1"/>
  <c r="O1674" i="1"/>
  <c r="O1431" i="1"/>
  <c r="O1613" i="1"/>
  <c r="O1500" i="1"/>
  <c r="O1338" i="1"/>
  <c r="O1595" i="1"/>
  <c r="O1692" i="1"/>
  <c r="O1891" i="1"/>
  <c r="O1768" i="1"/>
  <c r="O1655" i="1"/>
  <c r="O1964" i="1"/>
  <c r="O1921" i="1"/>
  <c r="O1920" i="1"/>
  <c r="O1975" i="1"/>
  <c r="O2053" i="1"/>
  <c r="O2090" i="1"/>
  <c r="O2202" i="1"/>
  <c r="O2070" i="1"/>
  <c r="O1981" i="1"/>
  <c r="O1783" i="1"/>
  <c r="O1931" i="1"/>
  <c r="O2235" i="1"/>
  <c r="O2290" i="1"/>
  <c r="O2272" i="1"/>
  <c r="O2278" i="1"/>
  <c r="O2271" i="1"/>
  <c r="O2379" i="1"/>
  <c r="O2215" i="1"/>
  <c r="O2259" i="1"/>
  <c r="O857" i="1"/>
  <c r="O939" i="1"/>
  <c r="O487" i="1"/>
  <c r="O551" i="1"/>
  <c r="O632" i="1"/>
  <c r="O706" i="1"/>
  <c r="O778" i="1"/>
  <c r="O847" i="1"/>
  <c r="O925" i="1"/>
  <c r="O501" i="1"/>
  <c r="O565" i="1"/>
  <c r="O635" i="1"/>
  <c r="O745" i="1"/>
  <c r="O837" i="1"/>
  <c r="O1013" i="1"/>
  <c r="O612" i="1"/>
  <c r="O689" i="1"/>
  <c r="O758" i="1"/>
  <c r="O840" i="1"/>
  <c r="O917" i="1"/>
  <c r="O570" i="1"/>
  <c r="O661" i="1"/>
  <c r="O766" i="1"/>
  <c r="O861" i="1"/>
  <c r="O1096" i="1"/>
  <c r="O641" i="1"/>
  <c r="O710" i="1"/>
  <c r="O792" i="1"/>
  <c r="O866" i="1"/>
  <c r="O1131" i="1"/>
  <c r="O601" i="1"/>
  <c r="O713" i="1"/>
  <c r="O805" i="1"/>
  <c r="O910" i="1"/>
  <c r="O314" i="1"/>
  <c r="O330" i="1"/>
  <c r="O346" i="1"/>
  <c r="O362" i="1"/>
  <c r="O378" i="1"/>
  <c r="O394" i="1"/>
  <c r="O410" i="1"/>
  <c r="O426" i="1"/>
  <c r="O442" i="1"/>
  <c r="O458" i="1"/>
  <c r="O474" i="1"/>
  <c r="O507" i="1"/>
  <c r="O571" i="1"/>
  <c r="O634" i="1"/>
  <c r="O703" i="1"/>
  <c r="O772" i="1"/>
  <c r="O849" i="1"/>
  <c r="O997" i="1"/>
  <c r="O668" i="1"/>
  <c r="O732" i="1"/>
  <c r="O796" i="1"/>
  <c r="O908" i="1"/>
  <c r="O1020" i="1"/>
  <c r="O1208" i="1"/>
  <c r="O993" i="1"/>
  <c r="O1083" i="1"/>
  <c r="O959" i="1"/>
  <c r="O1165" i="1"/>
  <c r="O966" i="1"/>
  <c r="O1081" i="1"/>
  <c r="O1220" i="1"/>
  <c r="O1106" i="1"/>
  <c r="O898" i="1"/>
  <c r="O985" i="1"/>
  <c r="O1117" i="1"/>
  <c r="O1232" i="1"/>
  <c r="O679" i="1"/>
  <c r="O791" i="1"/>
  <c r="O880" i="1"/>
  <c r="O992" i="1"/>
  <c r="O1172" i="1"/>
  <c r="O1302" i="1"/>
  <c r="O1277" i="1"/>
  <c r="O1234" i="1"/>
  <c r="O1346" i="1"/>
  <c r="O1248" i="1"/>
  <c r="O1102" i="1"/>
  <c r="O1214" i="1"/>
  <c r="O1303" i="1"/>
  <c r="O1036" i="1"/>
  <c r="O1058" i="1"/>
  <c r="O1093" i="1"/>
  <c r="O1205" i="1"/>
  <c r="O1292" i="1"/>
  <c r="O1123" i="1"/>
  <c r="O1210" i="1"/>
  <c r="O1322" i="1"/>
  <c r="O1352" i="1"/>
  <c r="O1464" i="1"/>
  <c r="O1699" i="1"/>
  <c r="O1567" i="1"/>
  <c r="O1565" i="1"/>
  <c r="O1554" i="1"/>
  <c r="O1456" i="1"/>
  <c r="O1683" i="1"/>
  <c r="O1438" i="1"/>
  <c r="O1645" i="1"/>
  <c r="O1509" i="1"/>
  <c r="O1354" i="1"/>
  <c r="O1611" i="1"/>
  <c r="O1708" i="1"/>
  <c r="O1905" i="1"/>
  <c r="O1827" i="1"/>
  <c r="O1671" i="1"/>
  <c r="O1948" i="1"/>
  <c r="O1752" i="1"/>
  <c r="O1936" i="1"/>
  <c r="O1991" i="1"/>
  <c r="O2069" i="1"/>
  <c r="O2106" i="1"/>
  <c r="O1830" i="1"/>
  <c r="O2086" i="1"/>
  <c r="O1997" i="1"/>
  <c r="O1787" i="1"/>
  <c r="O1947" i="1"/>
  <c r="O2249" i="1"/>
  <c r="O2310" i="1"/>
  <c r="O2294" i="1"/>
  <c r="O2315" i="1"/>
  <c r="O2287" i="1"/>
  <c r="O2395" i="1"/>
  <c r="O2219" i="1"/>
  <c r="O2275" i="1"/>
  <c r="O1045" i="1"/>
  <c r="O675" i="1"/>
  <c r="O739" i="1"/>
  <c r="O828" i="1"/>
  <c r="O915" i="1"/>
  <c r="O1027" i="1"/>
  <c r="O1233" i="1"/>
  <c r="O1002" i="1"/>
  <c r="O1124" i="1"/>
  <c r="O968" i="1"/>
  <c r="O1168" i="1"/>
  <c r="O973" i="1"/>
  <c r="O1092" i="1"/>
  <c r="O1353" i="1"/>
  <c r="O1133" i="1"/>
  <c r="O905" i="1"/>
  <c r="O994" i="1"/>
  <c r="O1120" i="1"/>
  <c r="O599" i="1"/>
  <c r="O688" i="1"/>
  <c r="O800" i="1"/>
  <c r="O887" i="1"/>
  <c r="O999" i="1"/>
  <c r="O1265" i="1"/>
  <c r="O1312" i="1"/>
  <c r="O1284" i="1"/>
  <c r="O1243" i="1"/>
  <c r="O1366" i="1"/>
  <c r="O1280" i="1"/>
  <c r="O1111" i="1"/>
  <c r="O1223" i="1"/>
  <c r="O1308" i="1"/>
  <c r="O1038" i="1"/>
  <c r="O1066" i="1"/>
  <c r="O1100" i="1"/>
  <c r="O1212" i="1"/>
  <c r="O1301" i="1"/>
  <c r="O1130" i="1"/>
  <c r="O1242" i="1"/>
  <c r="O1330" i="1"/>
  <c r="O1361" i="1"/>
  <c r="O1489" i="1"/>
  <c r="O1702" i="1"/>
  <c r="O1661" i="1"/>
  <c r="O1572" i="1"/>
  <c r="O1563" i="1"/>
  <c r="O1465" i="1"/>
  <c r="O1686" i="1"/>
  <c r="O1495" i="1"/>
  <c r="O1677" i="1"/>
  <c r="O1516" i="1"/>
  <c r="O1363" i="1"/>
  <c r="O1617" i="1"/>
  <c r="O1717" i="1"/>
  <c r="O1716" i="1"/>
  <c r="O1932" i="1"/>
  <c r="O1678" i="1"/>
  <c r="O1877" i="1"/>
  <c r="O1764" i="1"/>
  <c r="O1945" i="1"/>
  <c r="O1998" i="1"/>
  <c r="O2076" i="1"/>
  <c r="O2119" i="1"/>
  <c r="O1839" i="1"/>
  <c r="O2096" i="1"/>
  <c r="O2004" i="1"/>
  <c r="O1789" i="1"/>
  <c r="O1954" i="1"/>
  <c r="O2273" i="1"/>
  <c r="O2369" i="1"/>
  <c r="O2297" i="1"/>
  <c r="O2321" i="1"/>
  <c r="O2296" i="1"/>
  <c r="O2306" i="1"/>
  <c r="O2221" i="1"/>
  <c r="O2284" i="1"/>
  <c r="O1709" i="1"/>
  <c r="O1436" i="1"/>
  <c r="O1541" i="1"/>
  <c r="O1313" i="1"/>
  <c r="O1386" i="1"/>
  <c r="O1514" i="1"/>
  <c r="O1652" i="1"/>
  <c r="O1612" i="1"/>
  <c r="O1740" i="1"/>
  <c r="O1776" i="1"/>
  <c r="O1741" i="1"/>
  <c r="O1691" i="1"/>
  <c r="O1632" i="1"/>
  <c r="O1808" i="1"/>
  <c r="O1703" i="1"/>
  <c r="O1861" i="1"/>
  <c r="O1912" i="1"/>
  <c r="O1886" i="1"/>
  <c r="O1788" i="1"/>
  <c r="O1840" i="1"/>
  <c r="O1968" i="1"/>
  <c r="O2115" i="1"/>
  <c r="O2023" i="1"/>
  <c r="O2154" i="1"/>
  <c r="O2135" i="1"/>
  <c r="O2010" i="1"/>
  <c r="O2165" i="1"/>
  <c r="O2072" i="1"/>
  <c r="O1862" i="1"/>
  <c r="O1990" i="1"/>
  <c r="O2133" i="1"/>
  <c r="O1901" i="1"/>
  <c r="O2029" i="1"/>
  <c r="O1763" i="1"/>
  <c r="O1795" i="1"/>
  <c r="O1851" i="1"/>
  <c r="O1979" i="1"/>
  <c r="O2110" i="1"/>
  <c r="O2346" i="1"/>
  <c r="O2233" i="1"/>
  <c r="O2220" i="1"/>
  <c r="O2299" i="1"/>
  <c r="O2385" i="1"/>
  <c r="O2150" i="1"/>
  <c r="O2378" i="1"/>
  <c r="O2251" i="1"/>
  <c r="O2319" i="1"/>
  <c r="O2374" i="1"/>
  <c r="O2329" i="1"/>
  <c r="O2359" i="1"/>
  <c r="O2227" i="1"/>
  <c r="O2350" i="1"/>
  <c r="O2307" i="1"/>
  <c r="O803" i="1"/>
  <c r="O867" i="1"/>
  <c r="O931" i="1"/>
  <c r="O995" i="1"/>
  <c r="O1140" i="1"/>
  <c r="O1236" i="1"/>
  <c r="O961" i="1"/>
  <c r="O1025" i="1"/>
  <c r="O1094" i="1"/>
  <c r="O1184" i="1"/>
  <c r="O984" i="1"/>
  <c r="O1113" i="1"/>
  <c r="O1217" i="1"/>
  <c r="O982" i="1"/>
  <c r="O1049" i="1"/>
  <c r="O1122" i="1"/>
  <c r="O1225" i="1"/>
  <c r="O1003" i="1"/>
  <c r="O1144" i="1"/>
  <c r="O873" i="1"/>
  <c r="O937" i="1"/>
  <c r="O1001" i="1"/>
  <c r="O1063" i="1"/>
  <c r="O1163" i="1"/>
  <c r="O1238" i="1"/>
  <c r="O640" i="1"/>
  <c r="O704" i="1"/>
  <c r="O768" i="1"/>
  <c r="O832" i="1"/>
  <c r="O896" i="1"/>
  <c r="O960" i="1"/>
  <c r="O1024" i="1"/>
  <c r="O1177" i="1"/>
  <c r="O1263" i="1"/>
  <c r="O1328" i="1"/>
  <c r="O1444" i="1"/>
  <c r="O1360" i="1"/>
  <c r="O1250" i="1"/>
  <c r="O1318" i="1"/>
  <c r="O1398" i="1"/>
  <c r="O1257" i="1"/>
  <c r="O1369" i="1"/>
  <c r="O1127" i="1"/>
  <c r="O1191" i="1"/>
  <c r="O1255" i="1"/>
  <c r="O1316" i="1"/>
  <c r="O1428" i="1"/>
  <c r="O1044" i="1"/>
  <c r="O1060" i="1"/>
  <c r="O1076" i="1"/>
  <c r="O1116" i="1"/>
  <c r="O1180" i="1"/>
  <c r="O1244" i="1"/>
  <c r="O1341" i="1"/>
  <c r="O1091" i="1"/>
  <c r="O1155" i="1"/>
  <c r="O1219" i="1"/>
  <c r="O1283" i="1"/>
  <c r="O1359" i="1"/>
  <c r="O1446" i="1"/>
  <c r="O1393" i="1"/>
  <c r="O1505" i="1"/>
  <c r="O1626" i="1"/>
  <c r="O1487" i="1"/>
  <c r="O1593" i="1"/>
  <c r="O1501" i="1"/>
  <c r="O1656" i="1"/>
  <c r="O1506" i="1"/>
  <c r="O1633" i="1"/>
  <c r="O1488" i="1"/>
  <c r="O1584" i="1"/>
  <c r="O1358" i="1"/>
  <c r="O1447" i="1"/>
  <c r="O1559" i="1"/>
  <c r="O1349" i="1"/>
  <c r="O1445" i="1"/>
  <c r="O1557" i="1"/>
  <c r="O1317" i="1"/>
  <c r="O1402" i="1"/>
  <c r="O1530" i="1"/>
  <c r="O1684" i="1"/>
  <c r="O1628" i="1"/>
  <c r="O1760" i="1"/>
  <c r="O1816" i="1"/>
  <c r="O1792" i="1"/>
  <c r="O1707" i="1"/>
  <c r="O1648" i="1"/>
  <c r="O1841" i="1"/>
  <c r="O1719" i="1"/>
  <c r="O1893" i="1"/>
  <c r="O1756" i="1"/>
  <c r="O1898" i="1"/>
  <c r="O1804" i="1"/>
  <c r="O1856" i="1"/>
  <c r="O1984" i="1"/>
  <c r="O2145" i="1"/>
  <c r="O2039" i="1"/>
  <c r="O1989" i="1"/>
  <c r="O2162" i="1"/>
  <c r="O2026" i="1"/>
  <c r="O2187" i="1"/>
  <c r="O2088" i="1"/>
  <c r="O1878" i="1"/>
  <c r="O2006" i="1"/>
  <c r="O2155" i="1"/>
  <c r="O1917" i="1"/>
  <c r="O2045" i="1"/>
  <c r="O1767" i="1"/>
  <c r="O1799" i="1"/>
  <c r="O1867" i="1"/>
  <c r="O1995" i="1"/>
  <c r="O2131" i="1"/>
  <c r="O2128" i="1"/>
  <c r="O2276" i="1"/>
  <c r="O2244" i="1"/>
  <c r="O2193" i="1"/>
  <c r="O2093" i="1"/>
  <c r="O2166" i="1"/>
  <c r="O2125" i="1"/>
  <c r="O2265" i="1"/>
  <c r="O2335" i="1"/>
  <c r="O2390" i="1"/>
  <c r="O2345" i="1"/>
  <c r="O2375" i="1"/>
  <c r="O2238" i="1"/>
  <c r="O2366" i="1"/>
  <c r="O2323" i="1"/>
  <c r="O812" i="1"/>
  <c r="O876" i="1"/>
  <c r="O940" i="1"/>
  <c r="O1004" i="1"/>
  <c r="O1145" i="1"/>
  <c r="O1245" i="1"/>
  <c r="O970" i="1"/>
  <c r="O1035" i="1"/>
  <c r="O1099" i="1"/>
  <c r="O1192" i="1"/>
  <c r="O991" i="1"/>
  <c r="O1119" i="1"/>
  <c r="O1231" i="1"/>
  <c r="O989" i="1"/>
  <c r="O1057" i="1"/>
  <c r="O1149" i="1"/>
  <c r="O1240" i="1"/>
  <c r="O1012" i="1"/>
  <c r="O1174" i="1"/>
  <c r="O882" i="1"/>
  <c r="O946" i="1"/>
  <c r="O1010" i="1"/>
  <c r="O1071" i="1"/>
  <c r="O1169" i="1"/>
  <c r="O1272" i="1"/>
  <c r="O647" i="1"/>
  <c r="O711" i="1"/>
  <c r="O775" i="1"/>
  <c r="O839" i="1"/>
  <c r="O903" i="1"/>
  <c r="O967" i="1"/>
  <c r="O1101" i="1"/>
  <c r="O1183" i="1"/>
  <c r="O1270" i="1"/>
  <c r="O1339" i="1"/>
  <c r="O1261" i="1"/>
  <c r="O1389" i="1"/>
  <c r="O1259" i="1"/>
  <c r="O1326" i="1"/>
  <c r="O1407" i="1"/>
  <c r="O1264" i="1"/>
  <c r="O1401" i="1"/>
  <c r="O1134" i="1"/>
  <c r="O1198" i="1"/>
  <c r="O1262" i="1"/>
  <c r="O1324" i="1"/>
  <c r="O1030" i="1"/>
  <c r="O1046" i="1"/>
  <c r="O1062" i="1"/>
  <c r="O1078" i="1"/>
  <c r="O1125" i="1"/>
  <c r="O1189" i="1"/>
  <c r="O1253" i="1"/>
  <c r="O1344" i="1"/>
  <c r="O1098" i="1"/>
  <c r="O1162" i="1"/>
  <c r="O1226" i="1"/>
  <c r="O1290" i="1"/>
  <c r="O1362" i="1"/>
  <c r="O1336" i="1"/>
  <c r="O1400" i="1"/>
  <c r="O1512" i="1"/>
  <c r="O1658" i="1"/>
  <c r="O1494" i="1"/>
  <c r="O1609" i="1"/>
  <c r="O1508" i="1"/>
  <c r="O1679" i="1"/>
  <c r="O1531" i="1"/>
  <c r="O1636" i="1"/>
  <c r="O1504" i="1"/>
  <c r="O1619" i="1"/>
  <c r="O1367" i="1"/>
  <c r="O1470" i="1"/>
  <c r="O1566" i="1"/>
  <c r="O1365" i="1"/>
  <c r="O1452" i="1"/>
  <c r="O1573" i="1"/>
  <c r="O1321" i="1"/>
  <c r="O1418" i="1"/>
  <c r="O1546" i="1"/>
  <c r="O1588" i="1"/>
  <c r="O1644" i="1"/>
  <c r="O1818" i="1"/>
  <c r="O1873" i="1"/>
  <c r="O1847" i="1"/>
  <c r="O1723" i="1"/>
  <c r="O1664" i="1"/>
  <c r="O1900" i="1"/>
  <c r="O1735" i="1"/>
  <c r="O1925" i="1"/>
  <c r="O1774" i="1"/>
  <c r="O1927" i="1"/>
  <c r="O1820" i="1"/>
  <c r="O1872" i="1"/>
  <c r="O2000" i="1"/>
  <c r="O2167" i="1"/>
  <c r="O2055" i="1"/>
  <c r="O2005" i="1"/>
  <c r="O2184" i="1"/>
  <c r="O2042" i="1"/>
  <c r="O1976" i="1"/>
  <c r="O2130" i="1"/>
  <c r="O1894" i="1"/>
  <c r="O2022" i="1"/>
  <c r="O2174" i="1"/>
  <c r="O1933" i="1"/>
  <c r="O2061" i="1"/>
  <c r="O1771" i="1"/>
  <c r="O1803" i="1"/>
  <c r="O1883" i="1"/>
  <c r="O2011" i="1"/>
  <c r="O2161" i="1"/>
  <c r="O2144" i="1"/>
  <c r="O2298" i="1"/>
  <c r="O2266" i="1"/>
  <c r="O2210" i="1"/>
  <c r="O2097" i="1"/>
  <c r="O2182" i="1"/>
  <c r="O2141" i="1"/>
  <c r="O2353" i="1"/>
  <c r="O2351" i="1"/>
  <c r="O2399" i="1"/>
  <c r="O2361" i="1"/>
  <c r="O2391" i="1"/>
  <c r="O2254" i="1"/>
  <c r="O2382" i="1"/>
  <c r="O2339" i="1"/>
  <c r="O819" i="1"/>
  <c r="O883" i="1"/>
  <c r="O947" i="1"/>
  <c r="O1011" i="1"/>
  <c r="O1151" i="1"/>
  <c r="O1252" i="1"/>
  <c r="O977" i="1"/>
  <c r="O1043" i="1"/>
  <c r="O1105" i="1"/>
  <c r="O1222" i="1"/>
  <c r="O1000" i="1"/>
  <c r="O1138" i="1"/>
  <c r="O1256" i="1"/>
  <c r="O998" i="1"/>
  <c r="O1065" i="1"/>
  <c r="O1152" i="1"/>
  <c r="O1304" i="1"/>
  <c r="O1019" i="1"/>
  <c r="O1179" i="1"/>
  <c r="O889" i="1"/>
  <c r="O953" i="1"/>
  <c r="O1017" i="1"/>
  <c r="O1079" i="1"/>
  <c r="O1188" i="1"/>
  <c r="O592" i="1"/>
  <c r="O656" i="1"/>
  <c r="O720" i="1"/>
  <c r="O784" i="1"/>
  <c r="O848" i="1"/>
  <c r="O912" i="1"/>
  <c r="O976" i="1"/>
  <c r="O1104" i="1"/>
  <c r="O1202" i="1"/>
  <c r="O1279" i="1"/>
  <c r="O1348" i="1"/>
  <c r="O1268" i="1"/>
  <c r="O1392" i="1"/>
  <c r="O1266" i="1"/>
  <c r="O1334" i="1"/>
  <c r="O1410" i="1"/>
  <c r="O1273" i="1"/>
  <c r="O1433" i="1"/>
  <c r="O1143" i="1"/>
  <c r="O1207" i="1"/>
  <c r="O1271" i="1"/>
  <c r="O1332" i="1"/>
  <c r="O1032" i="1"/>
  <c r="O1048" i="1"/>
  <c r="O1064" i="1"/>
  <c r="O1080" i="1"/>
  <c r="O1132" i="1"/>
  <c r="O1196" i="1"/>
  <c r="O1260" i="1"/>
  <c r="O1373" i="1"/>
  <c r="O1107" i="1"/>
  <c r="O1171" i="1"/>
  <c r="O1235" i="1"/>
  <c r="O1299" i="1"/>
  <c r="O1382" i="1"/>
  <c r="O1345" i="1"/>
  <c r="O1425" i="1"/>
  <c r="O1521" i="1"/>
  <c r="O1670" i="1"/>
  <c r="O1503" i="1"/>
  <c r="O1629" i="1"/>
  <c r="O1533" i="1"/>
  <c r="O1688" i="1"/>
  <c r="O1547" i="1"/>
  <c r="O1665" i="1"/>
  <c r="O1513" i="1"/>
  <c r="O1651" i="1"/>
  <c r="O1374" i="1"/>
  <c r="O1486" i="1"/>
  <c r="O1575" i="1"/>
  <c r="O1372" i="1"/>
  <c r="O1477" i="1"/>
  <c r="O1580" i="1"/>
  <c r="O1323" i="1"/>
  <c r="O1427" i="1"/>
  <c r="O1555" i="1"/>
  <c r="O1590" i="1"/>
  <c r="O1653" i="1"/>
  <c r="O1836" i="1"/>
  <c r="O1727" i="1"/>
  <c r="O1850" i="1"/>
  <c r="O1730" i="1"/>
  <c r="O1673" i="1"/>
  <c r="O1614" i="1"/>
  <c r="O1742" i="1"/>
  <c r="O1928" i="1"/>
  <c r="O1782" i="1"/>
  <c r="O1973" i="1"/>
  <c r="O1843" i="1"/>
  <c r="O1881" i="1"/>
  <c r="O2009" i="1"/>
  <c r="O2170" i="1"/>
  <c r="O2062" i="1"/>
  <c r="O2012" i="1"/>
  <c r="O2195" i="1"/>
  <c r="O2051" i="1"/>
  <c r="O1985" i="1"/>
  <c r="O2149" i="1"/>
  <c r="O1903" i="1"/>
  <c r="O2031" i="1"/>
  <c r="O2199" i="1"/>
  <c r="O1940" i="1"/>
  <c r="O2068" i="1"/>
  <c r="O1773" i="1"/>
  <c r="O1805" i="1"/>
  <c r="O1890" i="1"/>
  <c r="O2018" i="1"/>
  <c r="O2172" i="1"/>
  <c r="O2153" i="1"/>
  <c r="O2394" i="1"/>
  <c r="O2274" i="1"/>
  <c r="O2218" i="1"/>
  <c r="O2099" i="1"/>
  <c r="O2191" i="1"/>
  <c r="O2148" i="1"/>
  <c r="O2232" i="1"/>
  <c r="O2360" i="1"/>
  <c r="O2340" i="1"/>
  <c r="O2370" i="1"/>
  <c r="O2205" i="1"/>
  <c r="O2261" i="1"/>
  <c r="O2389" i="1"/>
  <c r="O2348" i="1"/>
  <c r="O2371" i="1"/>
  <c r="O1432" i="1"/>
  <c r="O1496" i="1"/>
  <c r="O1560" i="1"/>
  <c r="O1667" i="1"/>
  <c r="O1471" i="1"/>
  <c r="O1535" i="1"/>
  <c r="O1601" i="1"/>
  <c r="O1476" i="1"/>
  <c r="O1540" i="1"/>
  <c r="O1647" i="1"/>
  <c r="O1474" i="1"/>
  <c r="O1538" i="1"/>
  <c r="O1599" i="1"/>
  <c r="O1718" i="1"/>
  <c r="O1497" i="1"/>
  <c r="O1561" i="1"/>
  <c r="O1654" i="1"/>
  <c r="O1351" i="1"/>
  <c r="O1415" i="1"/>
  <c r="O1479" i="1"/>
  <c r="O1543" i="1"/>
  <c r="O1605" i="1"/>
  <c r="O1356" i="1"/>
  <c r="O1420" i="1"/>
  <c r="O1484" i="1"/>
  <c r="O1548" i="1"/>
  <c r="O1672" i="1"/>
  <c r="O1315" i="1"/>
  <c r="O1331" i="1"/>
  <c r="O1395" i="1"/>
  <c r="O1459" i="1"/>
  <c r="O1523" i="1"/>
  <c r="O1587" i="1"/>
  <c r="O1681" i="1"/>
  <c r="O1598" i="1"/>
  <c r="O1621" i="1"/>
  <c r="O1685" i="1"/>
  <c r="O1749" i="1"/>
  <c r="O1800" i="1"/>
  <c r="O1794" i="1"/>
  <c r="O1770" i="1"/>
  <c r="O1748" i="1"/>
  <c r="O1634" i="1"/>
  <c r="O1698" i="1"/>
  <c r="O1759" i="1"/>
  <c r="O1641" i="1"/>
  <c r="O1705" i="1"/>
  <c r="O1838" i="1"/>
  <c r="O1646" i="1"/>
  <c r="O1710" i="1"/>
  <c r="O1802" i="1"/>
  <c r="O1864" i="1"/>
  <c r="O1944" i="1"/>
  <c r="O1980" i="1"/>
  <c r="O1814" i="1"/>
  <c r="O1895" i="1"/>
  <c r="O1889" i="1"/>
  <c r="O1796" i="1"/>
  <c r="O1907" i="1"/>
  <c r="O1849" i="1"/>
  <c r="O1913" i="1"/>
  <c r="O1977" i="1"/>
  <c r="O2041" i="1"/>
  <c r="O2126" i="1"/>
  <c r="O1966" i="1"/>
  <c r="O2030" i="1"/>
  <c r="O2092" i="1"/>
  <c r="O2178" i="1"/>
  <c r="O2044" i="1"/>
  <c r="O2138" i="1"/>
  <c r="O1955" i="1"/>
  <c r="O2019" i="1"/>
  <c r="O2083" i="1"/>
  <c r="O2168" i="1"/>
  <c r="O2017" i="1"/>
  <c r="O2081" i="1"/>
  <c r="O2190" i="1"/>
  <c r="O1871" i="1"/>
  <c r="O1935" i="1"/>
  <c r="O1999" i="1"/>
  <c r="O2063" i="1"/>
  <c r="O2136" i="1"/>
  <c r="O1844" i="1"/>
  <c r="O1908" i="1"/>
  <c r="O1972" i="1"/>
  <c r="O2036" i="1"/>
  <c r="O2120" i="1"/>
  <c r="O1765" i="1"/>
  <c r="O1781" i="1"/>
  <c r="O1797" i="1"/>
  <c r="O1813" i="1"/>
  <c r="O1858" i="1"/>
  <c r="O1922" i="1"/>
  <c r="O1986" i="1"/>
  <c r="O2050" i="1"/>
  <c r="O2123" i="1"/>
  <c r="O2203" i="1"/>
  <c r="O2121" i="1"/>
  <c r="O2185" i="1"/>
  <c r="O2257" i="1"/>
  <c r="O2282" i="1"/>
  <c r="O2228" i="1"/>
  <c r="O2330" i="1"/>
  <c r="O2337" i="1"/>
  <c r="O2253" i="1"/>
  <c r="O2091" i="1"/>
  <c r="O2107" i="1"/>
  <c r="O2159" i="1"/>
  <c r="O2267" i="1"/>
  <c r="O2116" i="1"/>
  <c r="O2180" i="1"/>
  <c r="O2262" i="1"/>
  <c r="O2264" i="1"/>
  <c r="O2328" i="1"/>
  <c r="O2392" i="1"/>
  <c r="O2381" i="1"/>
  <c r="O2372" i="1"/>
  <c r="O2338" i="1"/>
  <c r="O2304" i="1"/>
  <c r="O2368" i="1"/>
  <c r="O2213" i="1"/>
  <c r="O2229" i="1"/>
  <c r="O2293" i="1"/>
  <c r="O2357" i="1"/>
  <c r="O2252" i="1"/>
  <c r="O2316" i="1"/>
  <c r="O2380" i="1"/>
  <c r="O2387" i="1"/>
  <c r="O1564" i="1"/>
  <c r="O1704" i="1"/>
  <c r="O1319" i="1"/>
  <c r="O1347" i="1"/>
  <c r="O1411" i="1"/>
  <c r="O1475" i="1"/>
  <c r="O1539" i="1"/>
  <c r="O1603" i="1"/>
  <c r="O1713" i="1"/>
  <c r="O1602" i="1"/>
  <c r="O1637" i="1"/>
  <c r="O1701" i="1"/>
  <c r="O1778" i="1"/>
  <c r="O1729" i="1"/>
  <c r="O1870" i="1"/>
  <c r="O1902" i="1"/>
  <c r="O1810" i="1"/>
  <c r="O1650" i="1"/>
  <c r="O1714" i="1"/>
  <c r="O1786" i="1"/>
  <c r="O1657" i="1"/>
  <c r="O1721" i="1"/>
  <c r="O1882" i="1"/>
  <c r="O1662" i="1"/>
  <c r="O1726" i="1"/>
  <c r="O1848" i="1"/>
  <c r="O1896" i="1"/>
  <c r="O1923" i="1"/>
  <c r="O1766" i="1"/>
  <c r="O1831" i="1"/>
  <c r="O1918" i="1"/>
  <c r="O1943" i="1"/>
  <c r="O1812" i="1"/>
  <c r="O1934" i="1"/>
  <c r="O1865" i="1"/>
  <c r="O1929" i="1"/>
  <c r="O1993" i="1"/>
  <c r="O2057" i="1"/>
  <c r="O2156" i="1"/>
  <c r="O1982" i="1"/>
  <c r="O2046" i="1"/>
  <c r="O2108" i="1"/>
  <c r="O1996" i="1"/>
  <c r="O2060" i="1"/>
  <c r="O2181" i="1"/>
  <c r="O1971" i="1"/>
  <c r="O2035" i="1"/>
  <c r="O2098" i="1"/>
  <c r="O1969" i="1"/>
  <c r="O2033" i="1"/>
  <c r="O2114" i="1"/>
  <c r="O1823" i="1"/>
  <c r="O1887" i="1"/>
  <c r="O1951" i="1"/>
  <c r="O2015" i="1"/>
  <c r="O2079" i="1"/>
  <c r="O2163" i="1"/>
  <c r="O1860" i="1"/>
  <c r="O1924" i="1"/>
  <c r="O1988" i="1"/>
  <c r="O2052" i="1"/>
  <c r="O2147" i="1"/>
  <c r="O1769" i="1"/>
  <c r="O1785" i="1"/>
  <c r="O1801" i="1"/>
  <c r="O1817" i="1"/>
  <c r="O1874" i="1"/>
  <c r="O1938" i="1"/>
  <c r="O2002" i="1"/>
  <c r="O2066" i="1"/>
  <c r="O2142" i="1"/>
  <c r="O2246" i="1"/>
  <c r="O2137" i="1"/>
  <c r="O2201" i="1"/>
  <c r="O2279" i="1"/>
  <c r="O2301" i="1"/>
  <c r="O2247" i="1"/>
  <c r="O2231" i="1"/>
  <c r="O2200" i="1"/>
  <c r="O2283" i="1"/>
  <c r="O2095" i="1"/>
  <c r="O2111" i="1"/>
  <c r="O2175" i="1"/>
  <c r="O2281" i="1"/>
  <c r="O2132" i="1"/>
  <c r="O2196" i="1"/>
  <c r="O2289" i="1"/>
  <c r="O2280" i="1"/>
  <c r="O2344" i="1"/>
  <c r="O2333" i="1"/>
  <c r="O2397" i="1"/>
  <c r="O2388" i="1"/>
  <c r="O2354" i="1"/>
  <c r="O2320" i="1"/>
  <c r="O2384" i="1"/>
  <c r="O2217" i="1"/>
  <c r="O2245" i="1"/>
  <c r="O2309" i="1"/>
  <c r="O2373" i="1"/>
  <c r="O2268" i="1"/>
  <c r="O2332" i="1"/>
  <c r="O2396" i="1"/>
  <c r="O2400" i="1"/>
  <c r="O2401" i="1"/>
  <c r="O1409" i="1"/>
  <c r="O1473" i="1"/>
  <c r="O1537" i="1"/>
  <c r="O1635" i="1"/>
  <c r="O1720" i="1"/>
  <c r="O1510" i="1"/>
  <c r="O1574" i="1"/>
  <c r="O1453" i="1"/>
  <c r="O1517" i="1"/>
  <c r="O1581" i="1"/>
  <c r="O1451" i="1"/>
  <c r="O1515" i="1"/>
  <c r="O1579" i="1"/>
  <c r="O1668" i="1"/>
  <c r="O1472" i="1"/>
  <c r="O1536" i="1"/>
  <c r="O1622" i="1"/>
  <c r="O1715" i="1"/>
  <c r="O1390" i="1"/>
  <c r="O1454" i="1"/>
  <c r="O1518" i="1"/>
  <c r="O1582" i="1"/>
  <c r="O1333" i="1"/>
  <c r="O1397" i="1"/>
  <c r="O1461" i="1"/>
  <c r="O1525" i="1"/>
  <c r="O1631" i="1"/>
  <c r="O1309" i="1"/>
  <c r="O1325" i="1"/>
  <c r="O1370" i="1"/>
  <c r="O1434" i="1"/>
  <c r="O1498" i="1"/>
  <c r="O1562" i="1"/>
  <c r="O1620" i="1"/>
  <c r="O1592" i="1"/>
  <c r="O1608" i="1"/>
  <c r="O1660" i="1"/>
  <c r="O1724" i="1"/>
  <c r="O1911" i="1"/>
  <c r="O1755" i="1"/>
  <c r="O1734" i="1"/>
  <c r="O1725" i="1"/>
  <c r="O1868" i="1"/>
  <c r="O1675" i="1"/>
  <c r="O1739" i="1"/>
  <c r="O1616" i="1"/>
  <c r="O1680" i="1"/>
  <c r="O1744" i="1"/>
  <c r="O1623" i="1"/>
  <c r="O1687" i="1"/>
  <c r="O1751" i="1"/>
  <c r="O1829" i="1"/>
  <c r="O1937" i="1"/>
  <c r="O1880" i="1"/>
  <c r="O1790" i="1"/>
  <c r="O1863" i="1"/>
  <c r="O1754" i="1"/>
  <c r="O1772" i="1"/>
  <c r="O1852" i="1"/>
  <c r="O1824" i="1"/>
  <c r="O1888" i="1"/>
  <c r="O1952" i="1"/>
  <c r="O2016" i="1"/>
  <c r="O2080" i="1"/>
  <c r="O2197" i="1"/>
  <c r="O2007" i="1"/>
  <c r="O2071" i="1"/>
  <c r="O2140" i="1"/>
  <c r="O2021" i="1"/>
  <c r="O2085" i="1"/>
  <c r="O1930" i="1"/>
  <c r="O1994" i="1"/>
  <c r="O2058" i="1"/>
  <c r="O2122" i="1"/>
  <c r="O1992" i="1"/>
  <c r="O2056" i="1"/>
  <c r="O2152" i="1"/>
  <c r="O1846" i="1"/>
  <c r="O1910" i="1"/>
  <c r="O1974" i="1"/>
  <c r="O2038" i="1"/>
  <c r="O2104" i="1"/>
  <c r="O1821" i="1"/>
  <c r="O1885" i="1"/>
  <c r="O1949" i="1"/>
  <c r="O2013" i="1"/>
  <c r="O2077" i="1"/>
  <c r="O2188" i="1"/>
  <c r="O1775" i="1"/>
  <c r="O1791" i="1"/>
  <c r="O1807" i="1"/>
  <c r="O1835" i="1"/>
  <c r="O1899" i="1"/>
  <c r="O1963" i="1"/>
  <c r="O2027" i="1"/>
  <c r="O2094" i="1"/>
  <c r="O2183" i="1"/>
  <c r="O2292" i="1"/>
  <c r="O2160" i="1"/>
  <c r="O2222" i="1"/>
  <c r="O2241" i="1"/>
  <c r="O2204" i="1"/>
  <c r="O2285" i="1"/>
  <c r="O2269" i="1"/>
  <c r="O2226" i="1"/>
  <c r="O2305" i="1"/>
  <c r="O2101" i="1"/>
  <c r="O2134" i="1"/>
  <c r="O2198" i="1"/>
  <c r="O2324" i="1"/>
  <c r="O2157" i="1"/>
  <c r="O2224" i="1"/>
  <c r="O2239" i="1"/>
  <c r="O2303" i="1"/>
  <c r="O2367" i="1"/>
  <c r="O2358" i="1"/>
  <c r="O2347" i="1"/>
  <c r="O2313" i="1"/>
  <c r="O2377" i="1"/>
  <c r="O2343" i="1"/>
  <c r="O2207" i="1"/>
  <c r="O2223" i="1"/>
  <c r="O2270" i="1"/>
  <c r="O2334" i="1"/>
  <c r="O2398" i="1"/>
  <c r="O2291" i="1"/>
  <c r="O2355" i="1"/>
  <c r="O1416" i="1"/>
  <c r="O1480" i="1"/>
  <c r="O1544" i="1"/>
  <c r="O1638" i="1"/>
  <c r="O1455" i="1"/>
  <c r="O1519" i="1"/>
  <c r="O1583" i="1"/>
  <c r="O1460" i="1"/>
  <c r="O1524" i="1"/>
  <c r="O1615" i="1"/>
  <c r="O1458" i="1"/>
  <c r="O1522" i="1"/>
  <c r="O1586" i="1"/>
  <c r="O1697" i="1"/>
  <c r="O1481" i="1"/>
  <c r="O1545" i="1"/>
  <c r="O1642" i="1"/>
  <c r="O1335" i="1"/>
  <c r="O1399" i="1"/>
  <c r="O1463" i="1"/>
  <c r="O1527" i="1"/>
  <c r="O1589" i="1"/>
  <c r="O1340" i="1"/>
  <c r="O1404" i="1"/>
  <c r="O1468" i="1"/>
  <c r="O1532" i="1"/>
  <c r="O1640" i="1"/>
  <c r="O1311" i="1"/>
  <c r="O1327" i="1"/>
  <c r="O1379" i="1"/>
  <c r="O1443" i="1"/>
  <c r="O1507" i="1"/>
  <c r="O1571" i="1"/>
  <c r="O1649" i="1"/>
  <c r="O1594" i="1"/>
  <c r="O1610" i="1"/>
  <c r="O1669" i="1"/>
  <c r="O1733" i="1"/>
  <c r="O1738" i="1"/>
  <c r="O1758" i="1"/>
  <c r="O1743" i="1"/>
  <c r="O1732" i="1"/>
  <c r="O1618" i="1"/>
  <c r="O1682" i="1"/>
  <c r="O1746" i="1"/>
  <c r="O1625" i="1"/>
  <c r="O1689" i="1"/>
  <c r="O1762" i="1"/>
  <c r="O1630" i="1"/>
  <c r="O1694" i="1"/>
  <c r="O1757" i="1"/>
  <c r="O1832" i="1"/>
  <c r="O1957" i="1"/>
  <c r="O1909" i="1"/>
  <c r="O1798" i="1"/>
  <c r="O1866" i="1"/>
  <c r="O1825" i="1"/>
  <c r="O1780" i="1"/>
  <c r="O1875" i="1"/>
  <c r="O1833" i="1"/>
  <c r="O1897" i="1"/>
  <c r="O1961" i="1"/>
  <c r="O2025" i="1"/>
  <c r="O2089" i="1"/>
  <c r="O1950" i="1"/>
  <c r="O2014" i="1"/>
  <c r="O2078" i="1"/>
  <c r="O2151" i="1"/>
  <c r="O2028" i="1"/>
  <c r="O2124" i="1"/>
  <c r="O1939" i="1"/>
  <c r="O2003" i="1"/>
  <c r="O2067" i="1"/>
  <c r="O2146" i="1"/>
  <c r="O2001" i="1"/>
  <c r="O2065" i="1"/>
  <c r="O2171" i="1"/>
  <c r="O1855" i="1"/>
  <c r="O1919" i="1"/>
  <c r="O1983" i="1"/>
  <c r="O2047" i="1"/>
  <c r="O2112" i="1"/>
  <c r="O1828" i="1"/>
  <c r="O1892" i="1"/>
  <c r="O1956" i="1"/>
  <c r="O2020" i="1"/>
  <c r="O2084" i="1"/>
  <c r="O1761" i="1"/>
  <c r="O1777" i="1"/>
  <c r="O1793" i="1"/>
  <c r="O1809" i="1"/>
  <c r="O1842" i="1"/>
  <c r="O1906" i="1"/>
  <c r="O1970" i="1"/>
  <c r="O2034" i="1"/>
  <c r="O2102" i="1"/>
  <c r="O2186" i="1"/>
  <c r="O2295" i="1"/>
  <c r="O2169" i="1"/>
  <c r="O2230" i="1"/>
  <c r="O2260" i="1"/>
  <c r="O2212" i="1"/>
  <c r="O2314" i="1"/>
  <c r="O2288" i="1"/>
  <c r="O2234" i="1"/>
  <c r="O2308" i="1"/>
  <c r="O2103" i="1"/>
  <c r="O2143" i="1"/>
  <c r="O2237" i="1"/>
  <c r="O2331" i="1"/>
  <c r="O2164" i="1"/>
  <c r="O2240" i="1"/>
  <c r="O2248" i="1"/>
  <c r="O2312" i="1"/>
  <c r="O2376" i="1"/>
  <c r="O2365" i="1"/>
  <c r="O2356" i="1"/>
  <c r="O2322" i="1"/>
  <c r="O2386" i="1"/>
  <c r="O2352" i="1"/>
  <c r="O2209" i="1"/>
  <c r="O2225" i="1"/>
  <c r="O2277" i="1"/>
  <c r="O2341" i="1"/>
  <c r="O2236" i="1"/>
  <c r="O2300" i="1"/>
  <c r="O2364" i="1"/>
</calcChain>
</file>

<file path=xl/sharedStrings.xml><?xml version="1.0" encoding="utf-8"?>
<sst xmlns="http://schemas.openxmlformats.org/spreadsheetml/2006/main" count="15722" uniqueCount="2575">
  <si>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</si>
  <si>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</si>
  <si>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</si>
  <si>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</si>
  <si>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</si>
  <si>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</si>
  <si>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</si>
  <si>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</si>
  <si>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</si>
  <si>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</si>
  <si>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</si>
  <si>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</si>
  <si>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</si>
  <si>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</si>
  <si>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</si>
  <si>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</si>
  <si>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</si>
  <si>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</si>
  <si>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</si>
  <si>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</si>
  <si>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</si>
  <si>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</si>
  <si>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</si>
  <si>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</si>
  <si>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</si>
  <si>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</si>
  <si>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</si>
  <si>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</si>
  <si>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</si>
  <si>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</si>
  <si>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</si>
  <si>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</si>
  <si>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</si>
  <si>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</si>
  <si>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</si>
  <si>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</si>
  <si>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</si>
  <si>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</si>
  <si>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</si>
  <si>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</si>
  <si>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</si>
  <si>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</si>
  <si>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</si>
  <si>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</si>
  <si>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</si>
  <si>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</si>
  <si>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</si>
  <si>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</si>
  <si>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</si>
  <si>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</si>
  <si>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</si>
  <si>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</si>
  <si>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</si>
  <si>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</si>
  <si>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</si>
  <si>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</si>
  <si>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</si>
  <si>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</si>
  <si>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</si>
  <si>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</si>
  <si>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</si>
  <si>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</si>
  <si>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</si>
  <si>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</si>
  <si>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</si>
  <si>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</si>
  <si>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</si>
  <si>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</si>
  <si>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</si>
  <si>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</si>
  <si>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</si>
  <si>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</si>
  <si>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</si>
  <si>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</si>
  <si>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</si>
  <si>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</si>
  <si>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</si>
  <si>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</si>
  <si>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</si>
  <si>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</si>
  <si>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</si>
  <si>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</si>
  <si>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</si>
  <si>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</si>
  <si>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</si>
  <si>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</si>
  <si>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</si>
  <si>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</si>
  <si>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</si>
  <si>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</si>
  <si>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</si>
  <si>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</si>
  <si>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</si>
  <si>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</si>
  <si>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</si>
  <si>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</si>
  <si>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</si>
  <si>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</si>
  <si>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</si>
  <si>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</si>
  <si>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</si>
  <si>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</si>
  <si>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</si>
  <si>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</si>
  <si>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</si>
  <si>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</si>
  <si>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</si>
  <si>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</si>
  <si>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</si>
  <si>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</si>
  <si>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</si>
  <si>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</si>
  <si>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</si>
  <si>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</si>
  <si>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</si>
  <si>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</si>
  <si>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</si>
  <si>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</si>
  <si>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</si>
  <si>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</si>
  <si>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</si>
  <si>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</si>
  <si>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</si>
  <si>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</si>
  <si>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</si>
  <si>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</si>
  <si>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</si>
  <si>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</si>
  <si>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</si>
  <si>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</si>
  <si>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</si>
  <si>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</si>
  <si>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</si>
  <si>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</si>
  <si>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</si>
  <si>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</si>
  <si>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</si>
  <si>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</si>
  <si>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</si>
  <si>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</si>
  <si>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</si>
  <si>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</si>
  <si>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</si>
  <si>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</si>
  <si>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</si>
  <si>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</si>
  <si>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</si>
  <si>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</si>
  <si>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</si>
  <si>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</si>
  <si>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</si>
  <si>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</si>
  <si>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</si>
  <si>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</si>
  <si>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</si>
  <si>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</si>
  <si>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</si>
  <si>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</si>
  <si>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</si>
  <si>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</si>
  <si>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</si>
  <si>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</si>
  <si>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</si>
  <si>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</si>
  <si>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</si>
  <si>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</si>
  <si>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</si>
  <si>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</si>
  <si>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</si>
  <si>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</si>
  <si>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</si>
  <si>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</si>
  <si>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</si>
  <si>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</si>
  <si>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</si>
  <si>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</si>
  <si>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</si>
  <si>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</si>
  <si>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</si>
  <si>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</si>
  <si>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</si>
  <si>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</si>
  <si>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</si>
  <si>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</si>
  <si>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</si>
  <si>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</si>
  <si>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</si>
  <si>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</si>
  <si>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</si>
  <si>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</si>
  <si>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</si>
  <si>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</si>
  <si>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</si>
  <si>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</si>
  <si>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</si>
  <si>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</si>
  <si>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</si>
  <si>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</si>
  <si>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</si>
  <si>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</si>
  <si>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</si>
  <si>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</si>
  <si>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</si>
  <si>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</si>
  <si>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</si>
  <si>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</si>
  <si>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</si>
  <si>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</si>
  <si>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</si>
  <si>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</si>
  <si>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</si>
  <si>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</si>
  <si>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</si>
  <si>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</si>
  <si>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</si>
  <si>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</si>
  <si>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</si>
  <si>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</si>
  <si>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</si>
  <si>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</si>
  <si>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</si>
  <si>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</si>
  <si>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</si>
  <si>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</si>
  <si>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</si>
  <si>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</si>
  <si>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</si>
  <si>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</si>
  <si>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</si>
  <si>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</si>
  <si>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</si>
  <si>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</si>
  <si>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</si>
  <si>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</si>
  <si>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</si>
  <si>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</si>
  <si>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</si>
  <si>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</si>
  <si>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</si>
  <si>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</si>
  <si>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</si>
  <si>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</si>
  <si>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</si>
  <si>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</si>
  <si>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</si>
  <si>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</si>
  <si>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</si>
  <si>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</si>
  <si>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</si>
  <si>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</si>
  <si>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</si>
  <si>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</si>
  <si>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</si>
  <si>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</si>
  <si>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</si>
  <si>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</si>
  <si>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</si>
  <si>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</si>
  <si>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</si>
  <si>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</si>
  <si>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</si>
  <si>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</si>
  <si>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</si>
  <si>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</si>
  <si>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</si>
  <si>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</si>
  <si>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</si>
  <si>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</si>
  <si>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</si>
  <si>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</si>
  <si>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</si>
  <si>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</si>
  <si>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</si>
  <si>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</si>
  <si>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</si>
  <si>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</si>
  <si>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</si>
  <si>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</si>
  <si>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</si>
  <si>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</si>
  <si>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</si>
  <si>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</si>
  <si>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</si>
  <si>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</si>
  <si>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</si>
  <si>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</si>
  <si>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</si>
  <si>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</si>
  <si>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</si>
  <si>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</si>
  <si>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</si>
  <si>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</si>
  <si>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</si>
  <si>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</si>
  <si>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</si>
  <si>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</si>
  <si>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</si>
  <si>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</si>
  <si>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</si>
  <si>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</si>
  <si>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</si>
  <si>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</si>
  <si>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</si>
  <si>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</si>
  <si>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</si>
  <si>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</si>
  <si>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</si>
  <si>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</si>
  <si>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</si>
  <si>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</si>
  <si>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</si>
  <si>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</si>
  <si>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</si>
  <si>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</si>
  <si>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</si>
  <si>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</si>
  <si>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</si>
  <si>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</si>
  <si>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</si>
  <si>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</si>
  <si>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</si>
  <si>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</si>
  <si>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</si>
  <si>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</si>
  <si>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</si>
  <si>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</si>
  <si>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</si>
  <si>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</si>
  <si>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</si>
  <si>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</si>
  <si>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</si>
  <si>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</si>
  <si>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</si>
  <si>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</si>
  <si>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</si>
  <si>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</si>
  <si>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</si>
  <si>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</si>
  <si>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</si>
  <si>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</si>
  <si>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</si>
  <si>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</si>
  <si>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</si>
  <si>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</si>
  <si>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</si>
  <si>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</si>
  <si>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</si>
  <si>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</si>
  <si>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</si>
  <si>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</si>
  <si>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</si>
  <si>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</si>
  <si>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</si>
  <si>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</si>
  <si>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</si>
  <si>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</si>
  <si>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</si>
  <si>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</si>
  <si>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</si>
  <si>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</si>
  <si>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</si>
  <si>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</si>
  <si>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</si>
  <si>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</si>
  <si>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</si>
  <si>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</si>
  <si>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</si>
  <si>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</si>
  <si>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</si>
  <si>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</si>
  <si>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</si>
  <si>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</si>
  <si>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</si>
  <si>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</si>
  <si>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</si>
  <si>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</si>
  <si>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</si>
  <si>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</si>
  <si>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</si>
  <si>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</si>
  <si>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</si>
  <si>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</si>
  <si>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</si>
  <si>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</si>
  <si>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</si>
  <si>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</si>
  <si>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</si>
  <si>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</si>
  <si>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</si>
  <si>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</si>
  <si>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</si>
  <si>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</si>
  <si>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</si>
  <si>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</si>
  <si>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</si>
  <si>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</si>
  <si>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</si>
  <si>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</si>
  <si>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</si>
  <si>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</si>
  <si>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</si>
  <si>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</si>
  <si>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</si>
  <si>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</si>
  <si>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</si>
  <si>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</si>
  <si>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</si>
  <si>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</si>
  <si>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</si>
  <si>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</si>
  <si>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</si>
  <si>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</si>
  <si>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</si>
  <si>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</si>
  <si>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</si>
  <si>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</si>
  <si>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</si>
  <si>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</si>
  <si>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</si>
  <si>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</si>
  <si>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</si>
  <si>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</si>
  <si>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</si>
  <si>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</si>
  <si>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</si>
  <si>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</si>
  <si>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</si>
  <si>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</si>
  <si>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</si>
  <si>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</si>
  <si>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</si>
  <si>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</si>
  <si>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</si>
  <si>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</si>
  <si>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</si>
  <si>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</si>
  <si>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</si>
  <si>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</si>
  <si>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</si>
  <si>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</si>
  <si>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</si>
  <si>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</si>
  <si>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</si>
  <si>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</si>
  <si>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</si>
  <si>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</si>
  <si>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</si>
  <si>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</si>
  <si>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</si>
  <si>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</si>
  <si>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</si>
  <si>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</si>
  <si>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</si>
  <si>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</si>
  <si>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</si>
  <si>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</si>
  <si>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</si>
  <si>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</si>
  <si>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</si>
  <si>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</si>
  <si>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</si>
  <si>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</si>
  <si>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</si>
  <si>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</si>
  <si>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</si>
  <si>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</si>
  <si>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</si>
  <si>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</si>
  <si>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</si>
  <si>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</si>
  <si>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</si>
  <si>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</si>
  <si>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</si>
  <si>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</si>
  <si>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</si>
  <si>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</si>
  <si>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</si>
  <si>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</si>
  <si>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</si>
  <si>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</si>
  <si>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</si>
  <si>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</si>
  <si>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</si>
  <si>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</si>
  <si>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</si>
  <si>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</si>
  <si>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</si>
  <si>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</si>
  <si>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</si>
  <si>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</si>
  <si>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</si>
  <si>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</si>
  <si>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</si>
  <si>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</si>
  <si>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</si>
  <si>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</si>
  <si>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</si>
  <si>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</si>
  <si>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</si>
  <si>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</si>
  <si>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</si>
  <si>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</si>
  <si>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</si>
  <si>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</si>
  <si>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</si>
  <si>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</si>
  <si>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</si>
  <si>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</si>
  <si>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</si>
  <si>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</si>
  <si>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</si>
  <si>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</si>
  <si>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</si>
  <si>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</si>
  <si>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</si>
  <si>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</si>
  <si>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</si>
  <si>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</si>
  <si>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</si>
  <si>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</si>
  <si>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</si>
  <si>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</si>
  <si>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</si>
  <si>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</si>
  <si>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</si>
  <si>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</si>
  <si>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</si>
  <si>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</si>
  <si>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</si>
  <si>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</si>
  <si>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</si>
  <si>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</si>
  <si>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</si>
  <si>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</si>
  <si>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</si>
  <si>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</si>
  <si>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</si>
  <si>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</si>
  <si>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</si>
  <si>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</si>
  <si>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</si>
  <si>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</si>
  <si>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</si>
  <si>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</si>
  <si>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</si>
  <si>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</si>
  <si>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</si>
  <si>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</si>
  <si>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</si>
  <si>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</si>
  <si>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</si>
  <si>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</si>
  <si>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</si>
  <si>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</si>
  <si>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</si>
  <si>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</si>
  <si>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</si>
  <si>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</si>
  <si>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</si>
  <si>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</si>
  <si>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</si>
  <si>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</si>
  <si>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</si>
  <si>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</si>
  <si>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</si>
  <si>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</si>
  <si>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</si>
  <si>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</si>
  <si>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</si>
  <si>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</si>
  <si>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</si>
  <si>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</si>
  <si>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</si>
  <si>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</si>
  <si>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</si>
  <si>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</si>
  <si>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</si>
  <si>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</si>
  <si>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</si>
  <si>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</si>
  <si>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</si>
  <si>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</si>
  <si>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</si>
  <si>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</si>
  <si>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</si>
  <si>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</si>
  <si>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</si>
  <si>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</si>
  <si>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</si>
  <si>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</si>
  <si>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</si>
  <si>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</si>
  <si>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</si>
  <si>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</si>
  <si>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</si>
  <si>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</si>
  <si>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</si>
  <si>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</si>
  <si>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</si>
  <si>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</si>
  <si>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</si>
  <si>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</si>
  <si>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</si>
  <si>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</si>
  <si>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</si>
  <si>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</si>
  <si>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</si>
  <si>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</si>
  <si>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</si>
  <si>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</si>
  <si>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</si>
  <si>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</si>
  <si>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</si>
  <si>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</si>
  <si>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</si>
  <si>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</si>
  <si>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</si>
  <si>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</si>
  <si>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</si>
  <si>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</si>
  <si>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</si>
  <si>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</si>
  <si>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</si>
  <si>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</si>
  <si>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</si>
  <si>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</si>
  <si>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</si>
  <si>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</si>
  <si>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</si>
  <si>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</si>
  <si>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</si>
  <si>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</si>
  <si>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</si>
  <si>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</si>
  <si>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</si>
  <si>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</si>
  <si>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</si>
  <si>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</si>
  <si>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</si>
  <si>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</si>
  <si>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</si>
  <si>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</si>
  <si>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</si>
  <si>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</si>
  <si>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</si>
  <si>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</si>
  <si>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</si>
  <si>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</si>
  <si>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</si>
  <si>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</si>
  <si>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</si>
  <si>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</si>
  <si>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</si>
  <si>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</si>
  <si>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</si>
  <si>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</si>
  <si>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</si>
  <si>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</si>
  <si>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</si>
  <si>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</si>
  <si>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</si>
  <si>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</si>
  <si>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</si>
  <si>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</si>
  <si>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</si>
  <si>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</si>
  <si>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</si>
  <si>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</si>
  <si>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</si>
  <si>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</si>
  <si>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</si>
  <si>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</si>
  <si>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</si>
  <si>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</si>
  <si>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</si>
  <si>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</si>
  <si>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</si>
  <si>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</si>
  <si>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</si>
  <si>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</si>
  <si>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</si>
  <si>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</si>
  <si>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</si>
  <si>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</si>
  <si>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</si>
  <si>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</si>
  <si>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</si>
  <si>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</si>
  <si>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</si>
  <si>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</si>
  <si>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</si>
  <si>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</si>
  <si>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</si>
  <si>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</si>
  <si>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</si>
  <si>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</si>
  <si>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</si>
  <si>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</si>
  <si>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</si>
  <si>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</si>
  <si>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</si>
  <si>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</si>
  <si>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</si>
  <si>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</si>
  <si>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</si>
  <si>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</si>
  <si>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</si>
  <si>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</si>
  <si>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</si>
  <si>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</si>
  <si>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</si>
  <si>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</si>
  <si>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</si>
  <si>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</si>
  <si>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</si>
  <si>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</si>
  <si>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</si>
  <si>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</si>
  <si>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</si>
  <si>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</si>
  <si>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</si>
  <si>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</si>
  <si>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</si>
  <si>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</si>
  <si>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</si>
  <si>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</si>
  <si>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</si>
  <si>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</si>
  <si>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</si>
  <si>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</si>
  <si>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</si>
  <si>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</si>
  <si>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</si>
  <si>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</si>
  <si>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</si>
  <si>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</si>
  <si>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</si>
  <si>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</si>
  <si>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</si>
  <si>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</si>
  <si>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</si>
  <si>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</si>
  <si>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</si>
  <si>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</si>
  <si>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</si>
  <si>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</si>
  <si>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</si>
  <si>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</si>
  <si>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</si>
  <si>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</si>
  <si>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</si>
  <si>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</si>
  <si>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</si>
  <si>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</si>
  <si>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</si>
  <si>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</si>
  <si>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</si>
  <si>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</si>
  <si>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</si>
  <si>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</si>
  <si>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</si>
  <si>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</si>
  <si>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</si>
  <si>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</si>
  <si>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</si>
  <si>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</si>
  <si>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</si>
  <si>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</si>
  <si>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</si>
  <si>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</si>
  <si>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</si>
  <si>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</si>
  <si>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</si>
  <si>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</si>
  <si>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</si>
  <si>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</si>
  <si>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</si>
  <si>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</si>
  <si>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</si>
  <si>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</si>
  <si>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</si>
  <si>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</si>
  <si>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</si>
  <si>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</si>
  <si>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</si>
  <si>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</si>
  <si>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</si>
  <si>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</si>
  <si>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</si>
  <si>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</si>
  <si>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</si>
  <si>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</si>
  <si>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</si>
  <si>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</si>
  <si>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</si>
  <si>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</si>
  <si>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</si>
  <si>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</si>
  <si>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</si>
  <si>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</si>
  <si>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</si>
  <si>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</si>
  <si>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</si>
  <si>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</si>
  <si>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</si>
  <si>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</si>
  <si>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</si>
  <si>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</si>
  <si>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</si>
  <si>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</si>
  <si>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</si>
  <si>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</si>
  <si>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</si>
  <si>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</si>
  <si>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</si>
  <si>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</si>
  <si>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</si>
  <si>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</si>
  <si>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</si>
  <si>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</si>
  <si>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</si>
  <si>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</si>
  <si>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</si>
  <si>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</si>
  <si>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</si>
  <si>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</si>
  <si>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</si>
  <si>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</si>
  <si>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</si>
  <si>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</si>
  <si>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</si>
  <si>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</si>
  <si>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</si>
  <si>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</si>
  <si>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</si>
  <si>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</si>
  <si>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</si>
  <si>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</si>
  <si>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</si>
  <si>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</si>
  <si>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</si>
  <si>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</si>
  <si>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</si>
  <si>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</si>
  <si>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</si>
  <si>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</si>
  <si>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</si>
  <si>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</si>
  <si>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</si>
  <si>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</si>
  <si>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</si>
  <si>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</si>
  <si>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</si>
  <si>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</si>
  <si>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</si>
  <si>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</si>
  <si>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</si>
  <si>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</si>
  <si>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</si>
  <si>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</si>
  <si>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</si>
  <si>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</si>
  <si>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</si>
  <si>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</si>
  <si>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</si>
  <si>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</si>
  <si>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</si>
  <si>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</si>
  <si>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</si>
  <si>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</si>
  <si>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</si>
  <si>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</si>
  <si>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</si>
  <si>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</si>
  <si>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</si>
  <si>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</si>
  <si>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</si>
  <si>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</si>
  <si>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</si>
  <si>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</si>
  <si>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</si>
  <si>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</si>
  <si>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</si>
  <si>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</si>
  <si>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</si>
  <si>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</si>
  <si>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</si>
  <si>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</si>
  <si>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</si>
  <si>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</si>
  <si>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</si>
  <si>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</si>
  <si>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</si>
  <si>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</si>
  <si>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</si>
  <si>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</si>
  <si>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</si>
  <si>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</si>
  <si>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</si>
  <si>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</si>
  <si>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</si>
  <si>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</si>
  <si>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</si>
  <si>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</si>
  <si>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</si>
  <si>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</si>
  <si>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</si>
  <si>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</si>
  <si>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</si>
  <si>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</si>
  <si>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</si>
  <si>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</si>
  <si>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</si>
  <si>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</si>
  <si>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</si>
  <si>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</si>
  <si>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</si>
  <si>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</si>
  <si>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</si>
  <si>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</si>
  <si>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</si>
  <si>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</si>
  <si>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</si>
  <si>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</si>
  <si>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</si>
  <si>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</si>
  <si>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</si>
  <si>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</si>
  <si>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</si>
  <si>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</si>
  <si>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</si>
  <si>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</si>
  <si>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</si>
  <si>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</si>
  <si>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</si>
  <si>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</si>
  <si>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</si>
  <si>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</si>
  <si>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</si>
  <si>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</si>
  <si>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</si>
  <si>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</si>
  <si>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</si>
  <si>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</si>
  <si>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</si>
  <si>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</si>
  <si>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</si>
  <si>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</si>
  <si>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</si>
  <si>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</si>
  <si>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</si>
  <si>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</si>
  <si>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</si>
  <si>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</si>
  <si>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</si>
  <si>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</si>
  <si>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</si>
  <si>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</si>
  <si>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</si>
  <si>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</si>
  <si>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</si>
  <si>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</si>
  <si>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</si>
  <si>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</si>
  <si>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</si>
  <si>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</si>
  <si>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</si>
  <si>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</si>
  <si>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</si>
  <si>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</si>
  <si>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</si>
  <si>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</si>
  <si>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</si>
  <si>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</si>
  <si>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</si>
  <si>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</si>
  <si>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</si>
  <si>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</si>
  <si>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</si>
  <si>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</si>
  <si>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</si>
  <si>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</si>
  <si>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</si>
  <si>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</si>
  <si>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</si>
  <si>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</si>
  <si>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</si>
  <si>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</si>
  <si>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</si>
  <si>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</si>
  <si>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</si>
  <si>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</si>
  <si>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</si>
  <si>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</si>
  <si>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</si>
  <si>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</si>
  <si>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</si>
  <si>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</si>
  <si>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</si>
  <si>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</si>
  <si>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</si>
  <si>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</si>
  <si>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</si>
  <si>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</si>
  <si>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</si>
  <si>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</si>
  <si>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</si>
  <si>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</si>
  <si>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</si>
  <si>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</si>
  <si>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</si>
  <si>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</si>
  <si>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</si>
  <si>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</si>
  <si>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</si>
  <si>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</si>
  <si>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</si>
  <si>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</si>
  <si>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</si>
  <si>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</si>
  <si>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</si>
  <si>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</si>
  <si>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</si>
  <si>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</si>
  <si>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</si>
  <si>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</si>
  <si>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</si>
  <si>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</si>
  <si>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</si>
  <si>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</si>
  <si>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</si>
  <si>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</si>
  <si>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</si>
  <si>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</si>
  <si>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</si>
  <si>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</si>
  <si>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</si>
  <si>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</si>
  <si>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</si>
  <si>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</si>
  <si>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</si>
  <si>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</si>
  <si>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</si>
  <si>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</si>
  <si>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</si>
  <si>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</si>
  <si>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</si>
  <si>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</si>
  <si>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</si>
  <si>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</si>
  <si>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</si>
  <si>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</si>
  <si>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</si>
  <si>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</si>
  <si>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</si>
  <si>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</si>
  <si>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</si>
  <si>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</si>
  <si>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</si>
  <si>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</si>
  <si>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</si>
  <si>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</si>
  <si>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</si>
  <si>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</si>
  <si>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</si>
  <si>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</si>
  <si>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</si>
  <si>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</si>
  <si>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</si>
  <si>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</si>
  <si>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</si>
  <si>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</si>
  <si>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</si>
  <si>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</si>
  <si>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</si>
  <si>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</si>
  <si>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</si>
  <si>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</si>
  <si>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</si>
  <si>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</si>
  <si>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</si>
  <si>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</si>
  <si>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</si>
  <si>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</si>
  <si>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</si>
  <si>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</si>
  <si>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</si>
  <si>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</si>
  <si>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</si>
  <si>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</si>
  <si>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</si>
  <si>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</si>
  <si>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</si>
  <si>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</si>
  <si>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</si>
  <si>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</si>
  <si>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</si>
  <si>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</si>
  <si>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</si>
  <si>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</si>
  <si>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</si>
  <si>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</si>
  <si>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</si>
  <si>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</si>
  <si>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</si>
  <si>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</si>
  <si>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</si>
  <si>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</si>
  <si>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</si>
  <si>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</si>
  <si>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</si>
  <si>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</si>
  <si>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</si>
  <si>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</si>
  <si>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</si>
  <si>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</si>
  <si>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</si>
  <si>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</si>
  <si>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</si>
  <si>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</si>
  <si>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</si>
  <si>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</si>
  <si>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</si>
  <si>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</si>
  <si>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</si>
  <si>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</si>
  <si>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</si>
  <si>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</si>
  <si>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</si>
  <si>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</si>
  <si>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</si>
  <si>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</si>
  <si>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</si>
  <si>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</si>
  <si>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</si>
  <si>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</si>
  <si>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</si>
  <si>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</si>
  <si>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</si>
  <si>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</si>
  <si>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</si>
  <si>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</si>
  <si>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</si>
  <si>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</si>
  <si>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</si>
  <si>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</si>
  <si>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</si>
  <si>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</si>
  <si>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</si>
  <si>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</si>
  <si>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</si>
  <si>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</si>
  <si>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</si>
  <si>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</si>
  <si>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</si>
  <si>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</si>
  <si>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</si>
  <si>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</si>
  <si>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</si>
  <si>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</si>
  <si>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</si>
  <si>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</si>
  <si>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</si>
  <si>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</si>
  <si>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</si>
  <si>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</si>
  <si>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</si>
  <si>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</si>
  <si>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</si>
  <si>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</si>
  <si>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</si>
  <si>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</si>
  <si>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</si>
  <si>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</si>
  <si>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</si>
  <si>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</si>
  <si>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</si>
  <si>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</si>
  <si>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</si>
  <si>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</si>
  <si>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</si>
  <si>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</si>
  <si>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</si>
  <si>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</si>
  <si>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</si>
  <si>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</si>
  <si>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</si>
  <si>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</si>
  <si>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</si>
  <si>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</si>
  <si>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</si>
  <si>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</si>
  <si>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</si>
  <si>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</si>
  <si>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</si>
  <si>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</si>
  <si>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</si>
  <si>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</si>
  <si>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</si>
  <si>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</si>
  <si>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</si>
  <si>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</si>
  <si>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</si>
  <si>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</si>
  <si>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</si>
  <si>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</si>
  <si>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</si>
  <si>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</si>
  <si>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</si>
  <si>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</si>
  <si>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</si>
  <si>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</si>
  <si>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</si>
  <si>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</si>
  <si>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</si>
  <si>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</si>
  <si>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</si>
  <si>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</si>
  <si>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</si>
  <si>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</si>
  <si>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</si>
  <si>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</si>
  <si>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</si>
  <si>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</si>
  <si>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</si>
  <si>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</si>
  <si>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</si>
  <si>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</si>
  <si>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</si>
  <si>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</si>
  <si>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</si>
  <si>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</si>
  <si>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</si>
  <si>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</si>
  <si>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</si>
  <si>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</si>
  <si>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</si>
  <si>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</si>
  <si>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</si>
  <si>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</si>
  <si>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</si>
  <si>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</si>
  <si>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</si>
  <si>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</si>
  <si>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</si>
  <si>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</si>
  <si>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</si>
  <si>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</si>
  <si>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</si>
  <si>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</si>
  <si>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</si>
  <si>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</si>
  <si>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</si>
  <si>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</si>
  <si>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</si>
  <si>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</si>
  <si>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</si>
  <si>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</si>
  <si>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</si>
  <si>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</si>
  <si>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</si>
  <si>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</si>
  <si>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</si>
  <si>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</si>
  <si>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</si>
  <si>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</si>
  <si>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</si>
  <si>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</si>
  <si>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</si>
  <si>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</si>
  <si>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</si>
  <si>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</si>
  <si>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</si>
  <si>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</si>
  <si>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</si>
  <si>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</si>
  <si>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</si>
  <si>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</si>
  <si>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</si>
  <si>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</si>
  <si>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</si>
  <si>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</si>
  <si>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</si>
  <si>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</si>
  <si>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</si>
  <si>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</si>
  <si>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</si>
  <si>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</si>
  <si>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</si>
  <si>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</si>
  <si>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</si>
  <si>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</si>
  <si>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</si>
  <si>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</si>
  <si>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</si>
  <si>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</si>
  <si>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</si>
  <si>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</si>
  <si>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</si>
  <si>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</si>
  <si>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</si>
  <si>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</si>
  <si>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</si>
  <si>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</si>
  <si>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</si>
  <si>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</si>
  <si>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</si>
  <si>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</si>
  <si>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</si>
  <si>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</si>
  <si>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</si>
  <si>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</si>
  <si>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</si>
  <si>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</si>
  <si>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</si>
  <si>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</si>
  <si>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</si>
  <si>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</si>
  <si>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</si>
  <si>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</si>
  <si>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</si>
  <si>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</si>
  <si>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</si>
  <si>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</si>
  <si>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</si>
  <si>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</si>
  <si>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</si>
  <si>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</si>
  <si>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</si>
  <si>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</si>
  <si>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</si>
  <si>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</si>
  <si>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</si>
  <si>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</si>
  <si>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</si>
  <si>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</si>
  <si>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</si>
  <si>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</si>
  <si>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</si>
  <si>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</si>
  <si>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</si>
  <si>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</si>
  <si>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</si>
  <si>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</si>
  <si>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</si>
  <si>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</si>
  <si>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</si>
  <si>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</si>
  <si>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</si>
  <si>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</si>
  <si>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</si>
  <si>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</si>
  <si>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</si>
  <si>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</si>
  <si>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</si>
  <si>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</si>
  <si>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</si>
  <si>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</si>
  <si>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</si>
  <si>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</si>
  <si>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</si>
  <si>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</si>
  <si>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</si>
  <si>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</si>
  <si>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</si>
  <si>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</si>
  <si>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</si>
  <si>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</si>
  <si>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</si>
  <si>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</si>
  <si>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</si>
  <si>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</si>
  <si>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</si>
  <si>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</si>
  <si>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</si>
  <si>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</si>
  <si>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</si>
  <si>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</si>
  <si>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</si>
  <si>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</si>
  <si>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</si>
  <si>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</si>
  <si>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</si>
  <si>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</si>
  <si>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</si>
  <si>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</si>
  <si>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</si>
  <si>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</si>
  <si>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</si>
  <si>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</si>
  <si>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</si>
  <si>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</si>
  <si>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</si>
  <si>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</si>
  <si>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</si>
  <si>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</si>
  <si>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</si>
  <si>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</si>
  <si>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</si>
  <si>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</si>
  <si>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</si>
  <si>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</si>
  <si>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</si>
  <si>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</si>
  <si>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</si>
  <si>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</si>
  <si>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</si>
  <si>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</si>
  <si>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</si>
  <si>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</si>
  <si>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</si>
  <si>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</si>
  <si>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</si>
  <si>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</si>
  <si>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</si>
  <si>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</si>
  <si>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</si>
  <si>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</si>
  <si>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</si>
  <si>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</si>
  <si>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</si>
  <si>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</si>
  <si>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</si>
  <si>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</si>
  <si>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</si>
  <si>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</si>
  <si>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</si>
  <si>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</si>
  <si>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</si>
  <si>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</si>
  <si>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</si>
  <si>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</si>
  <si>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</si>
  <si>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</si>
  <si>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</si>
  <si>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</si>
  <si>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</si>
  <si>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</si>
  <si>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</si>
  <si>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</si>
  <si>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</si>
  <si>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</si>
  <si>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</si>
  <si>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</si>
  <si>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</si>
  <si>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</si>
  <si>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</si>
  <si>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</si>
  <si>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</si>
  <si>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</si>
  <si>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</si>
  <si>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</si>
  <si>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</si>
  <si>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</si>
  <si>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</si>
  <si>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</si>
  <si>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</si>
  <si>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</si>
  <si>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</si>
  <si>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</si>
  <si>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</si>
  <si>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</si>
  <si>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</si>
  <si>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</si>
  <si>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</si>
  <si>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</si>
  <si>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</si>
  <si>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</si>
  <si>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</si>
  <si>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</si>
  <si>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</si>
  <si>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</si>
  <si>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</si>
  <si>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</si>
  <si>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</si>
  <si>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</si>
  <si>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</si>
  <si>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</si>
  <si>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</si>
  <si>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</si>
  <si>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</si>
  <si>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</si>
  <si>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</si>
  <si>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</si>
  <si>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</si>
  <si>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</si>
  <si>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</si>
  <si>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</si>
  <si>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</si>
  <si>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</si>
  <si>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</si>
  <si>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</si>
  <si>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</si>
  <si>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</si>
  <si>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</si>
  <si>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</si>
  <si>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</si>
  <si>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</si>
  <si>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</si>
  <si>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</si>
  <si>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</si>
  <si>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</si>
  <si>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</si>
  <si>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</si>
  <si>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</si>
  <si>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</si>
  <si>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</si>
  <si>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</si>
  <si>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</si>
  <si>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</si>
  <si>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</si>
  <si>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</si>
  <si>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</si>
  <si>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</si>
  <si>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</si>
  <si>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</si>
  <si>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</si>
  <si>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</si>
  <si>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</si>
  <si>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</si>
  <si>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</si>
  <si>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</si>
  <si>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</si>
  <si>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</si>
  <si>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</si>
  <si>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</si>
  <si>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</si>
  <si>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</si>
  <si>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</si>
  <si>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</si>
  <si>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</si>
  <si>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</si>
  <si>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</si>
  <si>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</si>
  <si>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</si>
  <si>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</si>
  <si>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</si>
  <si>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</si>
  <si>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</si>
  <si>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</si>
  <si>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</si>
  <si>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</si>
  <si>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</si>
  <si>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</si>
  <si>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</si>
  <si>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</si>
  <si>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</si>
  <si>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</si>
  <si>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</si>
  <si>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</si>
  <si>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</si>
  <si>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</si>
  <si>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</si>
  <si>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</si>
  <si>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</si>
  <si>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</si>
  <si>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</si>
  <si>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</si>
  <si>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</si>
  <si>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</si>
  <si>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</si>
  <si>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</si>
  <si>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</si>
  <si>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</si>
  <si>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</si>
  <si>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</si>
  <si>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</si>
  <si>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</si>
  <si>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</si>
  <si>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</si>
  <si>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</si>
  <si>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</si>
  <si>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</si>
  <si>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</si>
  <si>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</si>
  <si>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</si>
  <si>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</si>
  <si>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</si>
  <si>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</si>
  <si>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</si>
  <si>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</si>
  <si>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</si>
  <si>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</si>
  <si>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</si>
  <si>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</si>
  <si>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</si>
  <si>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</si>
  <si>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</si>
  <si>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</si>
  <si>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</si>
  <si>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</si>
  <si>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</si>
  <si>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</si>
  <si>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</si>
  <si>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</si>
  <si>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</si>
  <si>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</si>
  <si>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</si>
  <si>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</si>
  <si>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</si>
  <si>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</si>
  <si>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</si>
  <si>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</si>
  <si>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</si>
  <si>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</si>
  <si>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</si>
  <si>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</si>
  <si>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</si>
  <si>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</si>
  <si>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</si>
  <si>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</si>
  <si>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</si>
  <si>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</si>
  <si>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</si>
  <si>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</si>
  <si>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</si>
  <si>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</si>
  <si>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</si>
  <si>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</si>
  <si>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</si>
  <si>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</si>
  <si>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</si>
  <si>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</si>
  <si>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</si>
  <si>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</si>
  <si>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</si>
  <si>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</si>
  <si>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</si>
  <si>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</si>
  <si>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</si>
  <si>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</si>
  <si>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</si>
  <si>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</si>
  <si>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</si>
  <si>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</si>
  <si>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</si>
  <si>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</si>
  <si>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</si>
  <si>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</si>
  <si>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</si>
  <si>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</si>
  <si>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</si>
  <si>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</si>
  <si>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</si>
  <si>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</si>
  <si>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</si>
  <si>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</si>
  <si>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</si>
  <si>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</si>
  <si>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</si>
  <si>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</si>
  <si>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</si>
  <si>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</si>
  <si>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</si>
  <si>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</si>
  <si>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</si>
  <si>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</si>
  <si>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</si>
  <si>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</si>
  <si>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</si>
  <si>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</si>
  <si>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</si>
  <si>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</si>
  <si>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</si>
  <si>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</si>
  <si>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</si>
  <si>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</si>
  <si>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</si>
  <si>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</si>
  <si>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</si>
  <si>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</si>
  <si>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</si>
  <si>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</si>
  <si>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</si>
  <si>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</si>
  <si>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</si>
  <si>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</si>
  <si>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</si>
  <si>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</si>
  <si>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</si>
  <si>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</si>
  <si>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</si>
  <si>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</si>
  <si>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</si>
  <si>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</si>
  <si>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</si>
  <si>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</si>
  <si>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</si>
  <si>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</si>
  <si>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</si>
  <si>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</si>
  <si>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</si>
  <si>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</si>
  <si>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</si>
  <si>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</si>
  <si>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</si>
  <si>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</si>
  <si>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</si>
  <si>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</si>
  <si>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</si>
  <si>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</si>
  <si>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</si>
  <si>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</si>
  <si>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</si>
  <si>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</si>
  <si>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</si>
  <si>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</si>
  <si>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</si>
  <si>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</si>
  <si>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</si>
  <si>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</si>
  <si>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</si>
  <si>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</si>
  <si>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</si>
  <si>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</si>
  <si>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</si>
  <si>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</si>
  <si>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</si>
  <si>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</si>
  <si>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</si>
  <si>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</si>
  <si>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</si>
  <si>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</si>
  <si>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</si>
  <si>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</si>
  <si>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</si>
  <si>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</si>
  <si>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</si>
  <si>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</si>
  <si>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</si>
  <si>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</si>
  <si>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</si>
  <si>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</si>
  <si>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</si>
  <si>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</si>
  <si>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</si>
  <si>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</si>
  <si>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</si>
  <si>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</si>
  <si>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</si>
  <si>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</si>
  <si>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</si>
  <si>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</si>
  <si>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</si>
  <si>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</si>
  <si>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</si>
  <si>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</si>
  <si>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</si>
  <si>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</si>
  <si>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</si>
  <si>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</si>
  <si>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</si>
  <si>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</si>
  <si>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</si>
  <si>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</si>
  <si>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</si>
  <si>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</si>
  <si>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</si>
  <si>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</si>
  <si>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</si>
  <si>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</si>
  <si>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</si>
  <si>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</si>
  <si>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</si>
  <si>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</si>
  <si>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</si>
  <si>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</si>
  <si>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</si>
  <si>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</si>
  <si>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</si>
  <si>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</si>
  <si>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</si>
  <si>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</si>
  <si>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</si>
  <si>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</si>
  <si>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</si>
  <si>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</si>
  <si>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</si>
  <si>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</si>
  <si>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</si>
  <si>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</si>
  <si>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</si>
  <si>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</si>
  <si>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</si>
  <si>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</si>
  <si>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</si>
  <si>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</si>
  <si>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</si>
  <si>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</si>
  <si>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</si>
  <si>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</si>
  <si>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</si>
  <si>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</si>
  <si>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</si>
  <si>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</si>
  <si>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</si>
  <si>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</si>
  <si>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</si>
  <si>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</si>
  <si>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</si>
  <si>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</si>
  <si>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</si>
  <si>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</si>
  <si>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</si>
  <si>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</si>
  <si>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</si>
  <si>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</si>
  <si>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</si>
  <si>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</si>
  <si>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</si>
  <si>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</si>
  <si>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</si>
  <si>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</si>
  <si>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</si>
  <si>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</si>
  <si>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</si>
  <si>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</si>
  <si>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</si>
  <si>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</si>
  <si>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</si>
  <si>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</si>
  <si>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</si>
  <si>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</si>
  <si>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</si>
  <si>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</si>
  <si>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</si>
  <si>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</si>
  <si>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</si>
  <si>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</si>
  <si>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</si>
  <si>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</si>
  <si>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</si>
  <si>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</si>
  <si>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</si>
  <si>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</si>
  <si>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</si>
  <si>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</si>
  <si>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</si>
  <si>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</si>
  <si>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</si>
  <si>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</si>
  <si>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</si>
  <si>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</si>
  <si>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</si>
  <si>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</si>
  <si>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</si>
  <si>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</si>
  <si>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</si>
  <si>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</si>
  <si>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</si>
  <si>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</si>
  <si>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</si>
  <si>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</si>
  <si>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</si>
  <si>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</si>
  <si>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</si>
  <si>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</si>
  <si>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</si>
  <si>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</si>
  <si>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</si>
  <si>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</si>
  <si>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</si>
  <si>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</si>
  <si>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</si>
  <si>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</si>
  <si>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</si>
  <si>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</si>
  <si>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</si>
  <si>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</si>
  <si>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</si>
  <si>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</si>
  <si>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</si>
  <si>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</si>
  <si>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</si>
  <si>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</si>
  <si>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</si>
  <si>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</si>
  <si>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</si>
  <si>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</si>
  <si>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</si>
  <si>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</si>
  <si>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</si>
  <si>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</si>
  <si>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</si>
  <si>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</si>
  <si>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</si>
  <si>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</si>
  <si>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</si>
  <si>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</si>
  <si>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</si>
  <si>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</si>
  <si>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</si>
  <si>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</si>
  <si>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</si>
  <si>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</si>
  <si>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</si>
  <si>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</si>
  <si>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</si>
  <si>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</si>
  <si>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</si>
  <si>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</si>
  <si>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</si>
  <si>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</si>
  <si>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</si>
  <si>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</si>
  <si>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</si>
  <si>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</si>
  <si>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</si>
  <si>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</si>
  <si>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</si>
  <si>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</si>
  <si>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</si>
  <si>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</si>
  <si>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</si>
  <si>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</si>
  <si>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</si>
  <si>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</si>
  <si>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</si>
  <si>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</si>
  <si>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</si>
  <si>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</si>
  <si>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</si>
  <si>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</si>
  <si>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</si>
  <si>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</si>
  <si>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</si>
  <si>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</si>
  <si>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</si>
  <si>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</si>
  <si>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</si>
  <si>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</si>
  <si>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</si>
  <si>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</si>
  <si>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</si>
  <si>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</si>
  <si>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</si>
  <si>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</si>
  <si>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</si>
  <si>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</si>
  <si>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</si>
  <si>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</si>
  <si>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</si>
  <si>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</si>
  <si>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</si>
  <si>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</si>
  <si>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</si>
  <si>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</si>
  <si>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</si>
  <si>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</si>
  <si>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</si>
  <si>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</si>
  <si>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</si>
  <si>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</si>
  <si>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</si>
  <si>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</si>
  <si>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</si>
  <si>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</si>
  <si>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</si>
  <si>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</si>
  <si>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</si>
  <si>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</si>
  <si>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</si>
  <si>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</si>
  <si>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</si>
  <si>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</si>
  <si>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</si>
  <si>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</si>
  <si>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</si>
  <si>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</si>
  <si>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</si>
  <si>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</si>
  <si>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</si>
  <si>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</si>
  <si>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</si>
  <si>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</si>
  <si>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</si>
  <si>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</si>
  <si>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</si>
  <si>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</si>
  <si>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</si>
  <si>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</si>
  <si>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</si>
  <si>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</si>
  <si>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</si>
  <si>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</si>
  <si>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</si>
  <si>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</si>
  <si>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</si>
  <si>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</si>
  <si>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</si>
  <si>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</si>
  <si>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</si>
  <si>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</si>
  <si>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</si>
  <si>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</si>
  <si>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</si>
  <si>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</si>
  <si>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</si>
  <si>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</si>
  <si>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</si>
  <si>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</si>
  <si>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</si>
  <si>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</si>
  <si>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</si>
  <si>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</si>
  <si>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</si>
  <si>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</si>
  <si>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</si>
  <si>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</si>
  <si>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</si>
  <si>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</si>
  <si>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</si>
  <si>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</si>
  <si>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</si>
  <si>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</si>
  <si>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</si>
  <si>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</si>
  <si>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</si>
  <si>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</si>
  <si>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</si>
  <si>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</si>
  <si>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</si>
  <si>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</si>
  <si>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</si>
  <si>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</si>
  <si>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</si>
  <si>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</si>
  <si>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</si>
  <si>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</si>
  <si>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</si>
  <si>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</si>
  <si>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</si>
  <si>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</si>
  <si>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</si>
  <si>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</si>
  <si>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</si>
  <si>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</si>
  <si>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</si>
  <si>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</si>
  <si>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</si>
  <si>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</si>
  <si>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</si>
  <si>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</si>
  <si>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</si>
  <si>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</si>
  <si>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</si>
  <si>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</si>
  <si>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</si>
  <si>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</si>
  <si>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</si>
  <si>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</si>
  <si>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</si>
  <si>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</si>
  <si>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</si>
  <si>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</si>
  <si>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</si>
  <si>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</si>
  <si>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</si>
  <si>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</si>
  <si>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</si>
  <si>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</si>
  <si>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</si>
  <si>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</si>
  <si>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</si>
  <si>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</si>
  <si>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</si>
  <si>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</si>
  <si>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</si>
  <si>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</si>
  <si>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</si>
  <si>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</si>
  <si>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</si>
  <si>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</si>
  <si>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</si>
  <si>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</si>
  <si>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</si>
  <si>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</si>
  <si>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</si>
  <si>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</si>
  <si>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</si>
  <si>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</si>
  <si>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</si>
  <si>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</si>
  <si>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</si>
  <si>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</si>
  <si>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</si>
  <si>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</si>
  <si>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</si>
  <si>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</si>
  <si>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</si>
  <si>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</si>
  <si>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</si>
  <si>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</si>
  <si>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</si>
  <si>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</si>
  <si>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</si>
  <si>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</si>
  <si>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</si>
  <si>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</si>
  <si>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</si>
  <si>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</si>
  <si>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</si>
  <si>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</si>
  <si>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</si>
  <si>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</si>
  <si>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</si>
  <si>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</si>
  <si>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</si>
  <si>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</si>
  <si>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</si>
  <si>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</si>
  <si>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</si>
  <si>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</si>
  <si>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</si>
  <si>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</si>
  <si>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</si>
  <si>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</si>
  <si>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</si>
  <si>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</si>
  <si>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</si>
  <si>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</si>
  <si>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</si>
  <si>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</si>
  <si>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</si>
  <si>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</si>
  <si>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</si>
  <si>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</si>
  <si>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</si>
  <si>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</si>
  <si>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</si>
  <si>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</si>
  <si>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</si>
  <si>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</si>
  <si>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</si>
  <si>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</si>
  <si>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</si>
  <si>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</si>
  <si>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</si>
  <si>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</si>
  <si>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</si>
  <si>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</si>
  <si>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</si>
  <si>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</si>
  <si>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</si>
  <si>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</si>
  <si>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</si>
  <si>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</si>
  <si>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</si>
  <si>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</si>
  <si>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</si>
  <si>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</si>
  <si>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</si>
  <si>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</si>
  <si>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</si>
  <si>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</si>
  <si>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</si>
  <si>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</si>
  <si>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</si>
  <si>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</si>
  <si>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</si>
  <si>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</si>
  <si>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</si>
  <si>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</si>
  <si>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</si>
  <si>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</si>
  <si>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</si>
  <si>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</si>
  <si>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</si>
  <si>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</si>
  <si>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</si>
  <si>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</si>
  <si>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</si>
  <si>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</si>
  <si>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</si>
  <si>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</si>
  <si>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</si>
  <si>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</si>
  <si>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</si>
  <si>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</si>
  <si>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</si>
  <si>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</si>
  <si>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</si>
  <si>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</si>
  <si>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</si>
  <si>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</si>
  <si>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</si>
  <si>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</si>
  <si>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</si>
  <si>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</si>
  <si>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</si>
  <si>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</si>
  <si>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</si>
  <si>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</si>
  <si>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</si>
  <si>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</si>
  <si>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</si>
  <si>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</si>
  <si>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</si>
  <si>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</si>
  <si>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</si>
  <si>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</si>
  <si>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</si>
  <si>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</si>
  <si>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</si>
  <si>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</si>
  <si>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</si>
  <si>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</si>
  <si>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</si>
  <si>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</si>
  <si>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</si>
  <si>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</si>
  <si>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</si>
  <si>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</si>
  <si>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</si>
  <si>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</si>
  <si>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</si>
  <si>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</si>
  <si>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</si>
  <si>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</si>
  <si>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</si>
  <si>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</si>
  <si>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</si>
  <si>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</si>
  <si>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</si>
  <si>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</si>
  <si>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</si>
  <si>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</si>
  <si>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</si>
  <si>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</si>
  <si>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</si>
  <si>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</si>
  <si>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</si>
  <si>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</si>
  <si>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</si>
  <si>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</si>
  <si>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</si>
  <si>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</si>
  <si>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</si>
  <si>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</si>
  <si>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</si>
  <si>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</si>
  <si>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</si>
  <si>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</si>
  <si>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</si>
  <si>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</si>
  <si>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</si>
  <si>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</si>
  <si>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</si>
  <si>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</si>
  <si>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</si>
  <si>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</si>
  <si>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</si>
  <si>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</si>
  <si>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</si>
  <si>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</si>
  <si>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</si>
  <si>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</si>
  <si>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</si>
  <si>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</si>
  <si>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</si>
  <si>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</si>
  <si>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</si>
  <si>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</si>
  <si>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</si>
  <si>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</si>
  <si>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</si>
  <si>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</si>
  <si>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</si>
  <si>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</si>
  <si>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</si>
  <si>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</si>
  <si>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</si>
  <si>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</si>
  <si>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</si>
  <si>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</si>
  <si>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</si>
  <si>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</si>
  <si>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</si>
  <si>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</si>
  <si>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</si>
  <si>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</si>
  <si>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</si>
  <si>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</si>
  <si>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</si>
  <si>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</si>
  <si>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</si>
  <si>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</si>
  <si>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</si>
  <si>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</si>
  <si>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</si>
  <si>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</si>
  <si>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</si>
  <si>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</si>
  <si>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</si>
  <si>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</si>
  <si>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</si>
  <si>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</si>
  <si>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</si>
  <si>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</si>
  <si>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</si>
  <si>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</si>
  <si>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</si>
  <si>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</si>
  <si>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</si>
  <si>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</si>
  <si>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</si>
  <si>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</si>
  <si>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</si>
  <si>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</si>
  <si>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</si>
  <si>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</si>
  <si>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</si>
  <si>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</si>
  <si>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</si>
  <si>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</si>
  <si>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</si>
  <si>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</si>
  <si>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</si>
  <si>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</si>
  <si>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</si>
  <si>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</si>
  <si>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</si>
  <si>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</si>
  <si>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</si>
  <si>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</si>
  <si>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</si>
  <si>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</si>
  <si>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</si>
  <si>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</si>
  <si>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</si>
  <si>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</si>
  <si>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</si>
  <si>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</si>
  <si>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</si>
  <si>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</si>
  <si>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</si>
  <si>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</si>
  <si>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</si>
  <si>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</si>
  <si>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</si>
  <si>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</si>
  <si>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</si>
  <si>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</si>
  <si>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</si>
  <si>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</si>
  <si>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</si>
  <si>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</si>
  <si>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</si>
  <si>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</si>
  <si>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</si>
  <si>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</si>
  <si>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</si>
  <si>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</si>
  <si>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</si>
  <si>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</si>
  <si>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</si>
  <si>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</si>
  <si>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</si>
  <si>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</si>
  <si>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</si>
  <si>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</si>
  <si>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</si>
  <si>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</si>
  <si>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</si>
  <si>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</si>
  <si>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</si>
  <si>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</si>
  <si>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</si>
  <si>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</si>
  <si>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</si>
  <si>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</si>
  <si>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</si>
  <si>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</si>
  <si>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</si>
  <si>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</si>
  <si>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</si>
  <si>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</si>
  <si>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</si>
  <si>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</si>
  <si>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</si>
  <si>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</si>
  <si>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</si>
  <si>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</si>
  <si>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</si>
  <si>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</si>
  <si>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</si>
  <si>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</si>
  <si>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</si>
  <si>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</si>
  <si>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</si>
  <si>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</si>
  <si>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</si>
  <si>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</si>
  <si>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</si>
  <si>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</si>
  <si>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</si>
  <si>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</si>
  <si>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</si>
  <si>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</si>
  <si>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</si>
  <si>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</si>
  <si>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</si>
  <si>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</si>
  <si>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</si>
  <si>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</si>
  <si>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</si>
  <si>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</si>
  <si>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</si>
  <si>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</si>
  <si>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</si>
  <si>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</si>
  <si>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</si>
  <si>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</si>
  <si>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</si>
  <si>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</si>
  <si>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</si>
  <si>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</si>
  <si>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</si>
  <si>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</si>
  <si>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</si>
  <si>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</si>
  <si>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</si>
  <si>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</si>
  <si>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</si>
  <si>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</si>
  <si>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</si>
  <si>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</si>
  <si>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</si>
  <si>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</si>
  <si>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</si>
  <si>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</si>
  <si>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</si>
  <si>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</si>
  <si>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</si>
  <si>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</si>
  <si>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</si>
  <si>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</si>
  <si>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</si>
  <si>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</si>
  <si>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</si>
  <si>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</si>
  <si>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</si>
  <si>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</si>
  <si>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</si>
  <si>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</si>
  <si>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</si>
  <si>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</si>
  <si>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</si>
  <si>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</si>
  <si>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</si>
  <si>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</si>
  <si>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</si>
  <si>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</si>
  <si>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</si>
  <si>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</si>
  <si>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</si>
  <si>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</si>
  <si>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</si>
  <si>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</si>
  <si>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</si>
  <si>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</si>
  <si>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</si>
  <si>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</si>
  <si>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</si>
  <si>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</si>
  <si>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</si>
  <si>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</si>
  <si>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</si>
  <si>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</si>
  <si>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</si>
  <si>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</si>
  <si>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</si>
  <si>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</si>
  <si>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</si>
  <si>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</si>
  <si>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</si>
  <si>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</si>
  <si>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</si>
  <si>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</si>
  <si>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</si>
  <si>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</si>
  <si>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</si>
  <si>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</si>
  <si>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</si>
  <si>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</si>
  <si>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</si>
  <si>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</si>
  <si>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</si>
  <si>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</si>
  <si>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</si>
  <si>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</si>
  <si>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</si>
  <si>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</si>
  <si>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</si>
  <si>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</si>
  <si>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</si>
  <si>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</si>
  <si>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</si>
  <si>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</si>
  <si>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</si>
  <si>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</si>
  <si>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</si>
  <si>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</si>
  <si>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</si>
  <si>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</si>
  <si>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</si>
  <si>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</si>
  <si>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</si>
  <si>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</si>
  <si>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</si>
  <si>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</si>
  <si>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</si>
  <si>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</si>
  <si>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</si>
  <si>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</si>
  <si>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</si>
  <si>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</si>
  <si>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</si>
  <si>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</si>
  <si>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</si>
  <si>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</si>
  <si>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</si>
  <si>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</si>
  <si>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</si>
  <si>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</si>
  <si>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</si>
  <si>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</si>
  <si>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</si>
  <si>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</si>
  <si>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</si>
  <si>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</si>
  <si>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</si>
  <si>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</si>
  <si>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</si>
  <si>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</si>
  <si>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</si>
  <si>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</si>
  <si>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</si>
  <si>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</si>
  <si>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</si>
  <si>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</si>
  <si>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</si>
  <si>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</si>
  <si>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</si>
  <si>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</si>
  <si>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</si>
  <si>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</si>
  <si>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</si>
  <si>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</si>
  <si>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</si>
  <si>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</si>
  <si>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</si>
  <si>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</si>
  <si>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values for display</t>
  </si>
  <si>
    <t xml:space="preserve">orders </t>
  </si>
  <si>
    <t>qty</t>
  </si>
  <si>
    <t>amount</t>
  </si>
  <si>
    <t>avg. days</t>
  </si>
  <si>
    <t>avg. ratings</t>
  </si>
  <si>
    <t>Row Labels</t>
  </si>
  <si>
    <t>Grand Total</t>
  </si>
  <si>
    <t>Column Labels</t>
  </si>
  <si>
    <t>Female</t>
  </si>
  <si>
    <t>Male</t>
  </si>
  <si>
    <t>Other</t>
  </si>
  <si>
    <t>Unknown</t>
  </si>
  <si>
    <t>for matrix</t>
  </si>
  <si>
    <t>6 -10</t>
  </si>
  <si>
    <t>&gt; 10</t>
  </si>
  <si>
    <t xml:space="preserve">geographical </t>
  </si>
  <si>
    <t>map for qty</t>
  </si>
  <si>
    <t>map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</si>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</sst>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5">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theme="1"/>
      <name val="Aptos Narrow"/>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0" xfId="0" applyNumberFormat="1" applyBorder="1"/>
    <xf numFmtId="0" fontId="0" fillId="0" borderId="0" xfId="0" applyBorder="1"/>
    <xf numFmtId="0" fontId="0" fillId="0" borderId="0" xfId="0" applyFont="1" applyAlignment="1">
      <alignment horizontal="left"/>
    </xf>
    <xf numFmtId="14" fontId="0" fillId="0" borderId="0" xfId="0" applyNumberFormat="1"/>
    <xf numFmtId="0" fontId="4" fillId="0" borderId="0" xfId="0" applyFont="1"/>
  </cellXfs>
  <cellStyles count="2">
    <cellStyle name="Hyperlink" xfId="1" builtinId="8"/>
    <cellStyle name="Normal" xfId="0" builtinId="0"/>
  </cellStyles>
  <dxfs count="21">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0" formatCode="General"/>
    </dxf>
    <dxf>
      <numFmt numFmtId="0" formatCode="General"/>
    </dxf>
    <dxf>
      <numFmt numFmtId="0" formatCode="General"/>
    </dxf>
    <dxf>
      <numFmt numFmtId="166" formatCode="d\-mmm\-yy"/>
    </dxf>
    <dxf>
      <numFmt numFmtId="166" formatCode="d\-mmm\-yy"/>
    </dxf>
    <dxf>
      <numFmt numFmtId="19" formatCode="dd/mm/yyyy"/>
    </dxf>
    <dxf>
      <numFmt numFmtId="19" formatCode="dd/mm/yyyy"/>
    </dxf>
    <dxf>
      <font>
        <sz val="11"/>
      </font>
    </dxf>
  </dxfs>
  <tableStyles count="0" defaultTableStyle="TableStyleMedium2" defaultPivotStyle="PivotStyleLight16"/>
  <colors>
    <mruColors>
      <color rgb="FFFF6600"/>
      <color rgb="FFFFCCCC"/>
      <color rgb="FFFF9999"/>
      <color rgb="FFFFCC99"/>
      <color rgb="FF003CB4"/>
      <color rgb="FF003296"/>
      <color rgb="FFFF9966"/>
      <color rgb="FFFA584C"/>
      <color rgb="FFF04134"/>
      <color rgb="FFC5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[ecommerce-blank.xlsx]Sheet3!itembought</c:name>
    <c:fmtId val="0"/>
  </c:pivotSource>
  <c:chart>
    <c:title>
      <c:tx>
        <c:rich>
          <a:bodyPr/>
          <a:lstStyle/>
          <a:p>
            <a:pPr>
              <a:defRPr/>
            </a:pPr>
            <a:r>
              <a:rPr lang="en-IN" sz="1400">
                <a:latin typeface="Arial Rounded MT Bold" panose="020F0704030504030204" pitchFamily="34" charset="0"/>
              </a:rPr>
              <a:t>Number</a:t>
            </a:r>
            <a:r>
              <a:rPr lang="en-IN" sz="1400" baseline="0">
                <a:latin typeface="Arial Rounded MT Bold" panose="020F0704030504030204" pitchFamily="34" charset="0"/>
              </a:rPr>
              <a:t> of Items Bought</a:t>
            </a:r>
            <a:endParaRPr lang="en-IN" sz="1400">
              <a:latin typeface="Arial Rounded MT Bold" panose="020F0704030504030204" pitchFamily="34" charset="0"/>
            </a:endParaRPr>
          </a:p>
        </c:rich>
      </c:tx>
      <c:layout>
        <c:manualLayout>
          <c:xMode val="edge"/>
          <c:yMode val="edge"/>
          <c:x val="0.29340937896070973"/>
          <c:y val="9.0271502947377485E-2"/>
        </c:manualLayout>
      </c:layout>
      <c:overlay val="1"/>
    </c:title>
    <c:autoTitleDeleted val="0"/>
    <c:pivotFmts>
      <c:pivotFmt>
        <c:idx val="0"/>
        <c:spPr>
          <a:gradFill>
            <a:gsLst>
              <a:gs pos="0">
                <a:srgbClr val="336699"/>
              </a:gs>
              <a:gs pos="68000">
                <a:srgbClr val="85C2FF"/>
              </a:gs>
              <a:gs pos="100000">
                <a:srgbClr val="C4D6EB"/>
              </a:gs>
              <a:gs pos="100000">
                <a:srgbClr val="FFEBFA"/>
              </a:gs>
            </a:gsLst>
            <a:lin ang="5400000" scaled="0"/>
          </a:gra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a:gsLst>
                <a:gs pos="0">
                  <a:srgbClr val="336699"/>
                </a:gs>
                <a:gs pos="68000">
                  <a:srgbClr val="85C2FF"/>
                </a:gs>
                <a:gs pos="100000">
                  <a:srgbClr val="C4D6EB"/>
                </a:gs>
                <a:gs pos="100000">
                  <a:srgbClr val="FFEBFA"/>
                </a:gs>
              </a:gsLst>
              <a:lin ang="5400000" scaled="0"/>
            </a:gradFill>
          </c:spPr>
          <c:invertIfNegative val="0"/>
          <c:cat>
            <c:strRef>
              <c:f>Sheet3!$A$4:$A$11</c:f>
              <c:strCache>
                <c:ptCount val="7"/>
                <c:pt idx="0">
                  <c:v>1</c:v>
                </c:pt>
                <c:pt idx="1">
                  <c:v>2</c:v>
                </c:pt>
                <c:pt idx="2">
                  <c:v>3</c:v>
                </c:pt>
                <c:pt idx="3">
                  <c:v>4</c:v>
                </c:pt>
                <c:pt idx="4">
                  <c:v>5</c:v>
                </c:pt>
                <c:pt idx="5">
                  <c:v>6 -10</c:v>
                </c:pt>
                <c:pt idx="6">
                  <c:v>&gt;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9FE-4DBE-91B1-725405A63803}"/>
            </c:ext>
          </c:extLst>
        </c:ser>
        <c:dLbls>
          <c:showLegendKey val="0"/>
          <c:showVal val="0"/>
          <c:showCatName val="0"/>
          <c:showSerName val="0"/>
          <c:showPercent val="0"/>
          <c:showBubbleSize val="0"/>
        </c:dLbls>
        <c:gapWidth val="150"/>
        <c:axId val="207973376"/>
        <c:axId val="207983360"/>
      </c:barChart>
      <c:catAx>
        <c:axId val="207973376"/>
        <c:scaling>
          <c:orientation val="minMax"/>
        </c:scaling>
        <c:delete val="0"/>
        <c:axPos val="b"/>
        <c:numFmt formatCode="General" sourceLinked="0"/>
        <c:majorTickMark val="out"/>
        <c:minorTickMark val="none"/>
        <c:tickLblPos val="nextTo"/>
        <c:crossAx val="207983360"/>
        <c:crosses val="autoZero"/>
        <c:auto val="1"/>
        <c:lblAlgn val="ctr"/>
        <c:lblOffset val="100"/>
        <c:noMultiLvlLbl val="0"/>
      </c:catAx>
      <c:valAx>
        <c:axId val="207983360"/>
        <c:scaling>
          <c:orientation val="minMax"/>
        </c:scaling>
        <c:delete val="0"/>
        <c:axPos val="l"/>
        <c:numFmt formatCode="General" sourceLinked="1"/>
        <c:majorTickMark val="out"/>
        <c:minorTickMark val="none"/>
        <c:tickLblPos val="nextTo"/>
        <c:crossAx val="2079733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[ecommerce-blank.xlsx]Sheet4!PivotTable12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Female</c:v>
                </c:pt>
              </c:strCache>
            </c:strRef>
          </c:tx>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43C0-48BC-8528-1D95EE957FB6}"/>
            </c:ext>
          </c:extLst>
        </c:ser>
        <c:ser>
          <c:idx val="1"/>
          <c:order val="1"/>
          <c:tx>
            <c:strRef>
              <c:f>Sheet4!$C$3:$C$4</c:f>
              <c:strCache>
                <c:ptCount val="1"/>
                <c:pt idx="0">
                  <c:v>Male</c:v>
                </c:pt>
              </c:strCache>
            </c:strRef>
          </c:tx>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43C0-48BC-8528-1D95EE957FB6}"/>
            </c:ext>
          </c:extLst>
        </c:ser>
        <c:ser>
          <c:idx val="2"/>
          <c:order val="2"/>
          <c:tx>
            <c:strRef>
              <c:f>Sheet4!$D$3:$D$4</c:f>
              <c:strCache>
                <c:ptCount val="1"/>
                <c:pt idx="0">
                  <c:v>Other</c:v>
                </c:pt>
              </c:strCache>
            </c:strRef>
          </c:tx>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3C0-48BC-8528-1D95EE957FB6}"/>
            </c:ext>
          </c:extLst>
        </c:ser>
        <c:ser>
          <c:idx val="3"/>
          <c:order val="3"/>
          <c:tx>
            <c:strRef>
              <c:f>Sheet4!$E$3:$E$4</c:f>
              <c:strCache>
                <c:ptCount val="1"/>
                <c:pt idx="0">
                  <c:v>Unknown</c:v>
                </c:pt>
              </c:strCache>
            </c:strRef>
          </c:tx>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3C0-48BC-8528-1D95EE957FB6}"/>
            </c:ext>
          </c:extLst>
        </c:ser>
        <c:dLbls>
          <c:showLegendKey val="0"/>
          <c:showVal val="0"/>
          <c:showCatName val="0"/>
          <c:showSerName val="0"/>
          <c:showPercent val="0"/>
          <c:showBubbleSize val="0"/>
        </c:dLbls>
        <c:gapWidth val="150"/>
        <c:overlap val="100"/>
        <c:axId val="209002880"/>
        <c:axId val="209004416"/>
      </c:barChart>
      <c:catAx>
        <c:axId val="209002880"/>
        <c:scaling>
          <c:orientation val="minMax"/>
        </c:scaling>
        <c:delete val="0"/>
        <c:axPos val="l"/>
        <c:numFmt formatCode="General" sourceLinked="0"/>
        <c:majorTickMark val="out"/>
        <c:minorTickMark val="none"/>
        <c:tickLblPos val="nextTo"/>
        <c:crossAx val="209004416"/>
        <c:crosses val="autoZero"/>
        <c:auto val="1"/>
        <c:lblAlgn val="ctr"/>
        <c:lblOffset val="100"/>
        <c:noMultiLvlLbl val="0"/>
      </c:catAx>
      <c:valAx>
        <c:axId val="209004416"/>
        <c:scaling>
          <c:orientation val="minMax"/>
        </c:scaling>
        <c:delete val="0"/>
        <c:axPos val="b"/>
        <c:majorGridlines/>
        <c:numFmt formatCode="General" sourceLinked="1"/>
        <c:majorTickMark val="out"/>
        <c:minorTickMark val="none"/>
        <c:tickLblPos val="nextTo"/>
        <c:crossAx val="2090028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[ecommerce-blank.xlsx]Sheet4!PivotTable21</c:name>
    <c:fmtId val="3"/>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Sheet4!$M$3</c:f>
              <c:strCache>
                <c:ptCount val="1"/>
                <c:pt idx="0">
                  <c:v>Total</c:v>
                </c:pt>
              </c:strCache>
            </c:strRef>
          </c:tx>
          <c:cat>
            <c:strRef>
              <c:f>Sheet4!$L$4:$L$8</c:f>
              <c:strCache>
                <c:ptCount val="4"/>
                <c:pt idx="0">
                  <c:v>Female</c:v>
                </c:pt>
                <c:pt idx="1">
                  <c:v>Male</c:v>
                </c:pt>
                <c:pt idx="2">
                  <c:v>Other</c:v>
                </c:pt>
                <c:pt idx="3">
                  <c:v>Unknown</c:v>
                </c:pt>
              </c:strCache>
            </c:strRef>
          </c:cat>
          <c:val>
            <c:numRef>
              <c:f>Sheet4!$M$4:$M$8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F89A-4A28-8FFD-89632C5EE888}"/>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Sheet8!$B$4:$B$19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CE0-4323-B3C8-64477AF45EFB}"/>
            </c:ext>
          </c:extLst>
        </c:ser>
        <c:dLbls>
          <c:showLegendKey val="0"/>
          <c:showVal val="0"/>
          <c:showCatName val="0"/>
          <c:showSerName val="0"/>
          <c:showPercent val="0"/>
          <c:showBubbleSize val="0"/>
        </c:dLbls>
        <c:gapWidth val="219"/>
        <c:overlap val="-27"/>
        <c:axId val="1410642528"/>
        <c:axId val="1410642112"/>
      </c:barChart>
      <c:catAx>
        <c:axId val="14106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42112"/>
        <c:crosses val="autoZero"/>
        <c:auto val="1"/>
        <c:lblAlgn val="ctr"/>
        <c:lblOffset val="100"/>
        <c:noMultiLvlLbl val="0"/>
      </c:catAx>
      <c:valAx>
        <c:axId val="141064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4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[ecommerce-blank.xlsx]Sheet8!PivotTable2</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Sheet8!$F$5:$F$6</c:f>
              <c:strCache>
                <c:ptCount val="1"/>
                <c:pt idx="0">
                  <c:v>1</c:v>
                </c:pt>
              </c:strCache>
            </c:strRef>
          </c:tx>
          <c:spPr>
            <a:solidFill>
              <a:schemeClr val="accent1"/>
            </a:solidFill>
            <a:ln>
              <a:noFill/>
            </a:ln>
            <a:effectLst/>
          </c:spPr>
          <c:invertIfNegative val="0"/>
          <c:cat>
            <c:strRef>
              <c:f>Sheet8!$E$7:$E$10</c:f>
              <c:strCache>
                <c:ptCount val="3"/>
                <c:pt idx="0">
                  <c:v>Jan</c:v>
                </c:pt>
                <c:pt idx="1">
                  <c:v>Feb</c:v>
                </c:pt>
                <c:pt idx="2">
                  <c:v>Mar</c:v>
                </c:pt>
              </c:strCache>
            </c:strRef>
          </c:cat>
          <c:val>
            <c:numRef>
              <c:f>Sheet8!$F$7:$F$10</c:f>
              <c:numCache>
                <c:formatCode>General</c:formatCode>
                <c:ptCount val="3"/>
                <c:pt idx="0">
                  <c:v>7</c:v>
                </c:pt>
                <c:pt idx="1">
                  <c:v>8</c:v>
                </c:pt>
                <c:pt idx="2">
                  <c:v>6</c:v>
                </c:pt>
              </c:numCache>
            </c:numRef>
          </c:val>
          <c:extLst>
            <c:ext xmlns:c16="http://schemas.microsoft.com/office/drawing/2014/chart" uri="{C3380CC4-5D6E-409C-BE32-E72D297353CC}">
              <c16:uniqueId val="{00000000-ADF4-4283-AD38-9733D52CB0B5}"/>
            </c:ext>
          </c:extLst>
        </c:ser>
        <c:ser>
          <c:idx val="1"/>
          <c:order val="1"/>
          <c:tx>
            <c:strRef>
              <c:f>Sheet8!$G$5:$G$6</c:f>
              <c:strCache>
                <c:ptCount val="1"/>
                <c:pt idx="0">
                  <c:v>2</c:v>
                </c:pt>
              </c:strCache>
            </c:strRef>
          </c:tx>
          <c:spPr>
            <a:solidFill>
              <a:schemeClr val="accent2"/>
            </a:solidFill>
            <a:ln>
              <a:noFill/>
            </a:ln>
            <a:effectLst/>
          </c:spPr>
          <c:invertIfNegative val="0"/>
          <c:cat>
            <c:strRef>
              <c:f>Sheet8!$E$7:$E$10</c:f>
              <c:strCache>
                <c:ptCount val="3"/>
                <c:pt idx="0">
                  <c:v>Jan</c:v>
                </c:pt>
                <c:pt idx="1">
                  <c:v>Feb</c:v>
                </c:pt>
                <c:pt idx="2">
                  <c:v>Mar</c:v>
                </c:pt>
              </c:strCache>
            </c:strRef>
          </c:cat>
          <c:val>
            <c:numRef>
              <c:f>Sheet8!$G$7:$G$10</c:f>
              <c:numCache>
                <c:formatCode>General</c:formatCode>
                <c:ptCount val="3"/>
                <c:pt idx="0">
                  <c:v>37</c:v>
                </c:pt>
                <c:pt idx="1">
                  <c:v>51</c:v>
                </c:pt>
                <c:pt idx="2">
                  <c:v>39</c:v>
                </c:pt>
              </c:numCache>
            </c:numRef>
          </c:val>
          <c:extLst>
            <c:ext xmlns:c16="http://schemas.microsoft.com/office/drawing/2014/chart" uri="{C3380CC4-5D6E-409C-BE32-E72D297353CC}">
              <c16:uniqueId val="{00000001-ADF4-4283-AD38-9733D52CB0B5}"/>
            </c:ext>
          </c:extLst>
        </c:ser>
        <c:ser>
          <c:idx val="2"/>
          <c:order val="2"/>
          <c:tx>
            <c:strRef>
              <c:f>Sheet8!$H$5:$H$6</c:f>
              <c:strCache>
                <c:ptCount val="1"/>
                <c:pt idx="0">
                  <c:v>3</c:v>
                </c:pt>
              </c:strCache>
            </c:strRef>
          </c:tx>
          <c:spPr>
            <a:solidFill>
              <a:schemeClr val="accent3"/>
            </a:solidFill>
            <a:ln>
              <a:noFill/>
            </a:ln>
            <a:effectLst/>
          </c:spPr>
          <c:invertIfNegative val="0"/>
          <c:cat>
            <c:strRef>
              <c:f>Sheet8!$E$7:$E$10</c:f>
              <c:strCache>
                <c:ptCount val="3"/>
                <c:pt idx="0">
                  <c:v>Jan</c:v>
                </c:pt>
                <c:pt idx="1">
                  <c:v>Feb</c:v>
                </c:pt>
                <c:pt idx="2">
                  <c:v>Mar</c:v>
                </c:pt>
              </c:strCache>
            </c:strRef>
          </c:cat>
          <c:val>
            <c:numRef>
              <c:f>Sheet8!$H$7:$H$10</c:f>
              <c:numCache>
                <c:formatCode>General</c:formatCode>
                <c:ptCount val="3"/>
                <c:pt idx="0">
                  <c:v>150</c:v>
                </c:pt>
                <c:pt idx="1">
                  <c:v>182</c:v>
                </c:pt>
                <c:pt idx="2">
                  <c:v>163</c:v>
                </c:pt>
              </c:numCache>
            </c:numRef>
          </c:val>
          <c:extLst>
            <c:ext xmlns:c16="http://schemas.microsoft.com/office/drawing/2014/chart" uri="{C3380CC4-5D6E-409C-BE32-E72D297353CC}">
              <c16:uniqueId val="{00000002-ADF4-4283-AD38-9733D52CB0B5}"/>
            </c:ext>
          </c:extLst>
        </c:ser>
        <c:ser>
          <c:idx val="3"/>
          <c:order val="3"/>
          <c:tx>
            <c:strRef>
              <c:f>Sheet8!$I$5:$I$6</c:f>
              <c:strCache>
                <c:ptCount val="1"/>
                <c:pt idx="0">
                  <c:v>4</c:v>
                </c:pt>
              </c:strCache>
            </c:strRef>
          </c:tx>
          <c:spPr>
            <a:solidFill>
              <a:schemeClr val="accent4"/>
            </a:solidFill>
            <a:ln>
              <a:noFill/>
            </a:ln>
            <a:effectLst/>
          </c:spPr>
          <c:invertIfNegative val="0"/>
          <c:cat>
            <c:strRef>
              <c:f>Sheet8!$E$7:$E$10</c:f>
              <c:strCache>
                <c:ptCount val="3"/>
                <c:pt idx="0">
                  <c:v>Jan</c:v>
                </c:pt>
                <c:pt idx="1">
                  <c:v>Feb</c:v>
                </c:pt>
                <c:pt idx="2">
                  <c:v>Mar</c:v>
                </c:pt>
              </c:strCache>
            </c:strRef>
          </c:cat>
          <c:val>
            <c:numRef>
              <c:f>Sheet8!$I$7:$I$10</c:f>
              <c:numCache>
                <c:formatCode>General</c:formatCode>
                <c:ptCount val="3"/>
                <c:pt idx="0">
                  <c:v>312</c:v>
                </c:pt>
                <c:pt idx="1">
                  <c:v>373</c:v>
                </c:pt>
                <c:pt idx="2">
                  <c:v>351</c:v>
                </c:pt>
              </c:numCache>
            </c:numRef>
          </c:val>
          <c:extLst>
            <c:ext xmlns:c16="http://schemas.microsoft.com/office/drawing/2014/chart" uri="{C3380CC4-5D6E-409C-BE32-E72D297353CC}">
              <c16:uniqueId val="{00000003-ADF4-4283-AD38-9733D52CB0B5}"/>
            </c:ext>
          </c:extLst>
        </c:ser>
        <c:ser>
          <c:idx val="4"/>
          <c:order val="4"/>
          <c:tx>
            <c:strRef>
              <c:f>Sheet8!$J$5:$J$6</c:f>
              <c:strCache>
                <c:ptCount val="1"/>
                <c:pt idx="0">
                  <c:v>5</c:v>
                </c:pt>
              </c:strCache>
            </c:strRef>
          </c:tx>
          <c:spPr>
            <a:solidFill>
              <a:schemeClr val="accent5"/>
            </a:solidFill>
            <a:ln>
              <a:noFill/>
            </a:ln>
            <a:effectLst/>
          </c:spPr>
          <c:invertIfNegative val="0"/>
          <c:cat>
            <c:strRef>
              <c:f>Sheet8!$E$7:$E$10</c:f>
              <c:strCache>
                <c:ptCount val="3"/>
                <c:pt idx="0">
                  <c:v>Jan</c:v>
                </c:pt>
                <c:pt idx="1">
                  <c:v>Feb</c:v>
                </c:pt>
                <c:pt idx="2">
                  <c:v>Mar</c:v>
                </c:pt>
              </c:strCache>
            </c:strRef>
          </c:cat>
          <c:val>
            <c:numRef>
              <c:f>Sheet8!$J$7:$J$10</c:f>
              <c:numCache>
                <c:formatCode>General</c:formatCode>
                <c:ptCount val="3"/>
                <c:pt idx="0">
                  <c:v>224</c:v>
                </c:pt>
                <c:pt idx="1">
                  <c:v>247</c:v>
                </c:pt>
                <c:pt idx="2">
                  <c:v>250</c:v>
                </c:pt>
              </c:numCache>
            </c:numRef>
          </c:val>
          <c:extLst>
            <c:ext xmlns:c16="http://schemas.microsoft.com/office/drawing/2014/chart" uri="{C3380CC4-5D6E-409C-BE32-E72D297353CC}">
              <c16:uniqueId val="{00000004-ADF4-4283-AD38-9733D52CB0B5}"/>
            </c:ext>
          </c:extLst>
        </c:ser>
        <c:dLbls>
          <c:showLegendKey val="0"/>
          <c:showVal val="0"/>
          <c:showCatName val="0"/>
          <c:showSerName val="0"/>
          <c:showPercent val="0"/>
          <c:showBubbleSize val="0"/>
        </c:dLbls>
        <c:gapWidth val="219"/>
        <c:overlap val="-27"/>
        <c:axId val="1463252800"/>
        <c:axId val="1463237408"/>
      </c:barChart>
      <c:catAx>
        <c:axId val="14632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7408"/>
        <c:crosses val="autoZero"/>
        <c:auto val="1"/>
        <c:lblAlgn val="ctr"/>
        <c:lblOffset val="100"/>
        <c:noMultiLvlLbl val="0"/>
      </c:catAx>
      <c:valAx>
        <c:axId val="146323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[ecommerce-blank.xlsx]Sheet1!PivotTable1st</c:name>
    <c:fmtId val="4"/>
  </c:pivotSource>
  <c:chart>
    <c:title>
      <c:tx>
        <c:rich>
          <a:bodyPr/>
          <a:lstStyle/>
          <a:p>
            <a:pPr>
              <a:defRPr sz="1400" b="0"/>
            </a:pPr>
            <a:r>
              <a:rPr lang="en-IN" sz="1400" b="0">
                <a:latin typeface="Arial Rounded MT Bold" panose="020F0704030504030204" pitchFamily="34" charset="0"/>
              </a:rPr>
              <a:t>Sales</a:t>
            </a:r>
            <a:r>
              <a:rPr lang="en-IN" sz="1400" b="0" baseline="0">
                <a:latin typeface="Arial Rounded MT Bold" panose="020F0704030504030204" pitchFamily="34" charset="0"/>
              </a:rPr>
              <a:t> Trend-13 week</a:t>
            </a:r>
            <a:endParaRPr lang="en-IN" sz="1400" b="0">
              <a:latin typeface="Arial Rounded MT Bold" panose="020F0704030504030204" pitchFamily="34" charset="0"/>
            </a:endParaRPr>
          </a:p>
        </c:rich>
      </c:tx>
      <c:layout>
        <c:manualLayout>
          <c:xMode val="edge"/>
          <c:yMode val="edge"/>
          <c:x val="0.28477096881099212"/>
          <c:y val="3.4821137252859034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effectLst>
            <a:innerShdw blurRad="114300">
              <a:prstClr val="black"/>
            </a:innerShdw>
          </a:effectLst>
        </c:spPr>
        <c:marker>
          <c:symbol val="diamond"/>
          <c:size val="2"/>
          <c:spPr>
            <a:effectLst>
              <a:innerShdw blurRad="114300">
                <a:prstClr val="black"/>
              </a:innerShdw>
            </a:effectLst>
          </c:spPr>
        </c:marker>
        <c:dLbl>
          <c:idx val="0"/>
          <c:delete val="1"/>
          <c:extLst>
            <c:ext xmlns:c15="http://schemas.microsoft.com/office/drawing/2012/chart" uri="{CE6537A1-D6FC-4f65-9D91-7224C49458BB}"/>
          </c:extLst>
        </c:dLbl>
      </c:pivotFmt>
      <c:pivotFmt>
        <c:idx val="5"/>
        <c:spPr>
          <a:ln>
            <a:solidFill>
              <a:srgbClr val="192F61"/>
            </a:solidFill>
          </a:ln>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1"/>
          <c:order val="1"/>
          <c:tx>
            <c:strRef>
              <c:f>Sheet1!$C$8</c:f>
              <c:strCache>
                <c:ptCount val="1"/>
                <c:pt idx="0">
                  <c:v>Sum of Amount</c:v>
                </c:pt>
              </c:strCache>
            </c:strRef>
          </c:tx>
          <c:spPr>
            <a:ln>
              <a:solidFill>
                <a:srgbClr val="192F61"/>
              </a:solidFill>
            </a:ln>
          </c:spPr>
          <c:marker>
            <c:symbol val="none"/>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Sheet1!$C$9:$C$22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DDC9-423F-9BCF-36A1F5B68C4D}"/>
            </c:ext>
          </c:extLst>
        </c:ser>
        <c:dLbls>
          <c:showLegendKey val="0"/>
          <c:showVal val="0"/>
          <c:showCatName val="0"/>
          <c:showSerName val="0"/>
          <c:showPercent val="0"/>
          <c:showBubbleSize val="0"/>
        </c:dLbls>
        <c:marker val="1"/>
        <c:smooth val="0"/>
        <c:axId val="209341824"/>
        <c:axId val="209343616"/>
      </c:lineChart>
      <c:lineChart>
        <c:grouping val="stacked"/>
        <c:varyColors val="0"/>
        <c:ser>
          <c:idx val="0"/>
          <c:order val="0"/>
          <c:tx>
            <c:strRef>
              <c:f>Sheet1!$B$8</c:f>
              <c:strCache>
                <c:ptCount val="1"/>
                <c:pt idx="0">
                  <c:v>Sum of Quantity</c:v>
                </c:pt>
              </c:strCache>
            </c:strRef>
          </c:tx>
          <c:spPr>
            <a:effectLst>
              <a:innerShdw blurRad="114300">
                <a:prstClr val="black"/>
              </a:innerShdw>
            </a:effectLst>
          </c:spPr>
          <c:marker>
            <c:symbol val="diamond"/>
            <c:size val="2"/>
            <c:spPr>
              <a:effectLst>
                <a:innerShdw blurRad="114300">
                  <a:prstClr val="black"/>
                </a:innerShdw>
              </a:effectLst>
            </c:spPr>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DDC9-423F-9BCF-36A1F5B68C4D}"/>
            </c:ext>
          </c:extLst>
        </c:ser>
        <c:dLbls>
          <c:showLegendKey val="0"/>
          <c:showVal val="0"/>
          <c:showCatName val="0"/>
          <c:showSerName val="0"/>
          <c:showPercent val="0"/>
          <c:showBubbleSize val="0"/>
        </c:dLbls>
        <c:marker val="1"/>
        <c:smooth val="0"/>
        <c:axId val="209347328"/>
        <c:axId val="209345536"/>
      </c:lineChart>
      <c:catAx>
        <c:axId val="209341824"/>
        <c:scaling>
          <c:orientation val="minMax"/>
        </c:scaling>
        <c:delete val="0"/>
        <c:axPos val="b"/>
        <c:numFmt formatCode="General" sourceLinked="0"/>
        <c:majorTickMark val="none"/>
        <c:minorTickMark val="none"/>
        <c:tickLblPos val="nextTo"/>
        <c:crossAx val="209343616"/>
        <c:crosses val="autoZero"/>
        <c:auto val="1"/>
        <c:lblAlgn val="ctr"/>
        <c:lblOffset val="100"/>
        <c:noMultiLvlLbl val="0"/>
      </c:catAx>
      <c:valAx>
        <c:axId val="209343616"/>
        <c:scaling>
          <c:orientation val="minMax"/>
        </c:scaling>
        <c:delete val="0"/>
        <c:axPos val="l"/>
        <c:majorGridlines/>
        <c:title>
          <c:overlay val="0"/>
        </c:title>
        <c:numFmt formatCode="[$$-409]#,##0" sourceLinked="1"/>
        <c:majorTickMark val="none"/>
        <c:minorTickMark val="none"/>
        <c:tickLblPos val="nextTo"/>
        <c:crossAx val="209341824"/>
        <c:crosses val="autoZero"/>
        <c:crossBetween val="between"/>
      </c:valAx>
      <c:valAx>
        <c:axId val="209345536"/>
        <c:scaling>
          <c:orientation val="minMax"/>
        </c:scaling>
        <c:delete val="0"/>
        <c:axPos val="r"/>
        <c:numFmt formatCode="General" sourceLinked="1"/>
        <c:majorTickMark val="out"/>
        <c:minorTickMark val="none"/>
        <c:tickLblPos val="nextTo"/>
        <c:crossAx val="209347328"/>
        <c:crosses val="max"/>
        <c:crossBetween val="between"/>
      </c:valAx>
      <c:catAx>
        <c:axId val="209347328"/>
        <c:scaling>
          <c:orientation val="minMax"/>
        </c:scaling>
        <c:delete val="1"/>
        <c:axPos val="b"/>
        <c:numFmt formatCode="General" sourceLinked="1"/>
        <c:majorTickMark val="out"/>
        <c:minorTickMark val="none"/>
        <c:tickLblPos val="nextTo"/>
        <c:crossAx val="209345536"/>
        <c:crosses val="autoZero"/>
        <c:auto val="1"/>
        <c:lblAlgn val="ctr"/>
        <c:lblOffset val="100"/>
        <c:noMultiLvlLbl val="0"/>
      </c:catAx>
    </c:plotArea>
    <c:plotVisOnly val="1"/>
    <c:dispBlanksAs val="zero"/>
    <c:showDLblsOverMax val="0"/>
  </c:chart>
  <c:spPr>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[ecommerce-blank.xlsx]Sheet3!itembought</c:name>
    <c:fmtId val="6"/>
  </c:pivotSource>
  <c:chart>
    <c:title>
      <c:tx>
        <c:rich>
          <a:bodyPr/>
          <a:lstStyle/>
          <a:p>
            <a:pPr>
              <a:defRPr b="0"/>
            </a:pPr>
            <a:r>
              <a:rPr lang="en-IN" sz="1400" b="0">
                <a:latin typeface="Arial Rounded MT Bold" panose="020F0704030504030204" pitchFamily="34" charset="0"/>
              </a:rPr>
              <a:t>Number</a:t>
            </a:r>
            <a:r>
              <a:rPr lang="en-IN" sz="1400" b="0" baseline="0">
                <a:latin typeface="Arial Rounded MT Bold" panose="020F0704030504030204" pitchFamily="34" charset="0"/>
              </a:rPr>
              <a:t> of Items Bought</a:t>
            </a:r>
            <a:endParaRPr lang="en-IN" sz="1400" b="0">
              <a:latin typeface="Arial Rounded MT Bold" panose="020F0704030504030204" pitchFamily="34" charset="0"/>
            </a:endParaRPr>
          </a:p>
        </c:rich>
      </c:tx>
      <c:layout>
        <c:manualLayout>
          <c:xMode val="edge"/>
          <c:yMode val="edge"/>
          <c:x val="0.31890340906239495"/>
          <c:y val="3.764009761937652E-2"/>
        </c:manualLayout>
      </c:layout>
      <c:overlay val="1"/>
    </c:title>
    <c:autoTitleDeleted val="0"/>
    <c:pivotFmts>
      <c:pivotFmt>
        <c:idx val="0"/>
        <c:spPr>
          <a:gradFill>
            <a:gsLst>
              <a:gs pos="0">
                <a:srgbClr val="336699"/>
              </a:gs>
              <a:gs pos="68000">
                <a:srgbClr val="85C2FF"/>
              </a:gs>
              <a:gs pos="100000">
                <a:srgbClr val="C4D6EB"/>
              </a:gs>
              <a:gs pos="100000">
                <a:srgbClr val="FFEBFA"/>
              </a:gs>
            </a:gsLst>
            <a:lin ang="5400000" scaled="0"/>
          </a:gradFill>
        </c:spPr>
        <c:marker>
          <c:symbol val="none"/>
        </c:marker>
      </c:pivotFmt>
      <c:pivotFmt>
        <c:idx val="1"/>
        <c:spPr>
          <a:gradFill>
            <a:gsLst>
              <a:gs pos="0">
                <a:srgbClr val="336699"/>
              </a:gs>
              <a:gs pos="68000">
                <a:srgbClr val="85C2FF"/>
              </a:gs>
              <a:gs pos="100000">
                <a:srgbClr val="C4D6EB"/>
              </a:gs>
              <a:gs pos="100000">
                <a:srgbClr val="FFEBFA"/>
              </a:gs>
            </a:gsLst>
            <a:lin ang="5400000" scaled="0"/>
          </a:gradFill>
        </c:spPr>
        <c:marker>
          <c:symbol val="none"/>
        </c:marker>
      </c:pivotFmt>
      <c:pivotFmt>
        <c:idx val="2"/>
        <c:spPr>
          <a:gradFill>
            <a:gsLst>
              <a:gs pos="0">
                <a:srgbClr val="336699"/>
              </a:gs>
              <a:gs pos="68000">
                <a:srgbClr val="85C2FF"/>
              </a:gs>
              <a:gs pos="100000">
                <a:srgbClr val="C4D6EB"/>
              </a:gs>
              <a:gs pos="100000">
                <a:srgbClr val="FFEBFA"/>
              </a:gs>
            </a:gsLst>
            <a:lin ang="5400000" scaled="0"/>
          </a:gra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479107919729211"/>
          <c:y val="0.17875260204543394"/>
          <c:w val="0.72550348032499756"/>
          <c:h val="0.66643182760049735"/>
        </c:manualLayout>
      </c:layout>
      <c:barChart>
        <c:barDir val="col"/>
        <c:grouping val="clustered"/>
        <c:varyColors val="0"/>
        <c:ser>
          <c:idx val="0"/>
          <c:order val="0"/>
          <c:tx>
            <c:strRef>
              <c:f>Sheet3!$B$3</c:f>
              <c:strCache>
                <c:ptCount val="1"/>
                <c:pt idx="0">
                  <c:v>Total</c:v>
                </c:pt>
              </c:strCache>
            </c:strRef>
          </c:tx>
          <c:spPr>
            <a:gradFill>
              <a:gsLst>
                <a:gs pos="0">
                  <a:srgbClr val="336699"/>
                </a:gs>
                <a:gs pos="68000">
                  <a:srgbClr val="85C2FF"/>
                </a:gs>
                <a:gs pos="100000">
                  <a:srgbClr val="C4D6EB"/>
                </a:gs>
                <a:gs pos="100000">
                  <a:srgbClr val="FFEBFA"/>
                </a:gs>
              </a:gsLst>
              <a:lin ang="5400000" scaled="0"/>
            </a:gradFill>
          </c:spPr>
          <c:invertIfNegative val="0"/>
          <c:cat>
            <c:strRef>
              <c:f>Sheet3!$A$4:$A$11</c:f>
              <c:strCache>
                <c:ptCount val="7"/>
                <c:pt idx="0">
                  <c:v>1</c:v>
                </c:pt>
                <c:pt idx="1">
                  <c:v>2</c:v>
                </c:pt>
                <c:pt idx="2">
                  <c:v>3</c:v>
                </c:pt>
                <c:pt idx="3">
                  <c:v>4</c:v>
                </c:pt>
                <c:pt idx="4">
                  <c:v>5</c:v>
                </c:pt>
                <c:pt idx="5">
                  <c:v>6 -10</c:v>
                </c:pt>
                <c:pt idx="6">
                  <c:v>&gt;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174-49E6-B976-D9EEF8F2F03B}"/>
            </c:ext>
          </c:extLst>
        </c:ser>
        <c:dLbls>
          <c:showLegendKey val="0"/>
          <c:showVal val="0"/>
          <c:showCatName val="0"/>
          <c:showSerName val="0"/>
          <c:showPercent val="0"/>
          <c:showBubbleSize val="0"/>
        </c:dLbls>
        <c:gapWidth val="5"/>
        <c:axId val="209384960"/>
        <c:axId val="209386496"/>
      </c:barChart>
      <c:catAx>
        <c:axId val="209384960"/>
        <c:scaling>
          <c:orientation val="minMax"/>
        </c:scaling>
        <c:delete val="0"/>
        <c:axPos val="b"/>
        <c:numFmt formatCode="General" sourceLinked="0"/>
        <c:majorTickMark val="out"/>
        <c:minorTickMark val="none"/>
        <c:tickLblPos val="nextTo"/>
        <c:crossAx val="209386496"/>
        <c:crosses val="autoZero"/>
        <c:auto val="1"/>
        <c:lblAlgn val="ctr"/>
        <c:lblOffset val="100"/>
        <c:noMultiLvlLbl val="0"/>
      </c:catAx>
      <c:valAx>
        <c:axId val="209386496"/>
        <c:scaling>
          <c:orientation val="minMax"/>
        </c:scaling>
        <c:delete val="0"/>
        <c:axPos val="l"/>
        <c:numFmt formatCode="General" sourceLinked="1"/>
        <c:majorTickMark val="out"/>
        <c:minorTickMark val="none"/>
        <c:tickLblPos val="nextTo"/>
        <c:crossAx val="209384960"/>
        <c:crosses val="autoZero"/>
        <c:crossBetween val="between"/>
      </c:valAx>
    </c:plotArea>
    <c:legend>
      <c:legendPos val="r"/>
      <c:overlay val="0"/>
    </c:legend>
    <c:plotVisOnly val="1"/>
    <c:dispBlanksAs val="gap"/>
    <c:showDLblsOverMax val="0"/>
  </c:chart>
  <c:spPr>
    <a:ln w="9525">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[ecommerce-blank.xlsx]Sheet4!PivotTable12</c:name>
    <c:fmtId val="2"/>
  </c:pivotSource>
  <c:chart>
    <c:title>
      <c:tx>
        <c:rich>
          <a:bodyPr/>
          <a:lstStyle/>
          <a:p>
            <a:pPr>
              <a:defRPr sz="1400" b="0">
                <a:solidFill>
                  <a:schemeClr val="tx1">
                    <a:lumMod val="95000"/>
                    <a:lumOff val="5000"/>
                  </a:schemeClr>
                </a:solidFill>
                <a:latin typeface="Arial Rounded MT Bold" panose="020F0704030504030204" pitchFamily="34" charset="0"/>
              </a:defRPr>
            </a:pPr>
            <a:r>
              <a:rPr lang="en-IN" sz="1400" b="0">
                <a:solidFill>
                  <a:schemeClr val="tx1">
                    <a:lumMod val="95000"/>
                    <a:lumOff val="5000"/>
                  </a:schemeClr>
                </a:solidFill>
                <a:latin typeface="Arial Rounded MT Bold" panose="020F0704030504030204" pitchFamily="34" charset="0"/>
              </a:rPr>
              <a:t>Top</a:t>
            </a:r>
            <a:r>
              <a:rPr lang="en-IN" sz="1400" b="0" baseline="0">
                <a:solidFill>
                  <a:schemeClr val="tx1">
                    <a:lumMod val="95000"/>
                    <a:lumOff val="5000"/>
                  </a:schemeClr>
                </a:solidFill>
                <a:latin typeface="Arial Rounded MT Bold" panose="020F0704030504030204" pitchFamily="34" charset="0"/>
              </a:rPr>
              <a:t> Products by Gender</a:t>
            </a:r>
            <a:endParaRPr lang="en-IN" sz="1400" b="0">
              <a:solidFill>
                <a:schemeClr val="tx1">
                  <a:lumMod val="95000"/>
                  <a:lumOff val="5000"/>
                </a:schemeClr>
              </a:solidFill>
              <a:latin typeface="Arial Rounded MT Bold" panose="020F0704030504030204" pitchFamily="34" charset="0"/>
            </a:endParaRPr>
          </a:p>
        </c:rich>
      </c:tx>
      <c:layout>
        <c:manualLayout>
          <c:xMode val="edge"/>
          <c:yMode val="edge"/>
          <c:x val="4.0156779290219241E-2"/>
          <c:y val="1.1284365112297204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rgbClr val="FF9393"/>
          </a:solidFill>
        </c:spPr>
        <c:marker>
          <c:symbol val="none"/>
        </c:marker>
      </c:pivotFmt>
      <c:pivotFmt>
        <c:idx val="9"/>
        <c:spPr>
          <a:solidFill>
            <a:schemeClr val="tx2">
              <a:lumMod val="75000"/>
              <a:lumOff val="25000"/>
            </a:schemeClr>
          </a:solidFill>
        </c:spPr>
        <c:marker>
          <c:symbol val="none"/>
        </c:marker>
      </c:pivotFmt>
      <c:pivotFmt>
        <c:idx val="10"/>
        <c:spPr>
          <a:solidFill>
            <a:srgbClr val="FF9966"/>
          </a:solidFill>
        </c:spPr>
        <c:marker>
          <c:symbol val="none"/>
        </c:marker>
      </c:pivotFmt>
      <c:pivotFmt>
        <c:idx val="11"/>
        <c:spPr>
          <a:solidFill>
            <a:srgbClr val="FF5050"/>
          </a:solidFill>
        </c:spPr>
        <c:marker>
          <c:symbol val="none"/>
        </c:marker>
      </c:pivotFmt>
      <c:pivotFmt>
        <c:idx val="12"/>
        <c:spPr>
          <a:solidFill>
            <a:srgbClr val="FF9393"/>
          </a:solidFill>
        </c:spPr>
        <c:marker>
          <c:symbol val="none"/>
        </c:marker>
        <c:dLbl>
          <c:idx val="0"/>
          <c:delete val="1"/>
          <c:extLst>
            <c:ext xmlns:c15="http://schemas.microsoft.com/office/drawing/2012/chart" uri="{CE6537A1-D6FC-4f65-9D91-7224C49458BB}"/>
          </c:extLst>
        </c:dLbl>
      </c:pivotFmt>
      <c:pivotFmt>
        <c:idx val="13"/>
        <c:spPr>
          <a:solidFill>
            <a:schemeClr val="tx2">
              <a:lumMod val="75000"/>
              <a:lumOff val="25000"/>
            </a:schemeClr>
          </a:solidFill>
        </c:spPr>
        <c:marker>
          <c:symbol val="none"/>
        </c:marker>
        <c:dLbl>
          <c:idx val="0"/>
          <c:delete val="1"/>
          <c:extLst>
            <c:ext xmlns:c15="http://schemas.microsoft.com/office/drawing/2012/chart" uri="{CE6537A1-D6FC-4f65-9D91-7224C49458BB}"/>
          </c:extLst>
        </c:dLbl>
      </c:pivotFmt>
      <c:pivotFmt>
        <c:idx val="14"/>
        <c:spPr>
          <a:solidFill>
            <a:srgbClr val="FF9966"/>
          </a:solidFill>
        </c:spPr>
        <c:marker>
          <c:symbol val="none"/>
        </c:marker>
        <c:dLbl>
          <c:idx val="0"/>
          <c:delete val="1"/>
          <c:extLst>
            <c:ext xmlns:c15="http://schemas.microsoft.com/office/drawing/2012/chart" uri="{CE6537A1-D6FC-4f65-9D91-7224C49458BB}"/>
          </c:extLst>
        </c:dLbl>
      </c:pivotFmt>
      <c:pivotFmt>
        <c:idx val="15"/>
        <c:spPr>
          <a:solidFill>
            <a:srgbClr val="FF5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365069929509385"/>
          <c:y val="0.15537887936027364"/>
          <c:w val="0.61133238501659559"/>
          <c:h val="0.81516129032258067"/>
        </c:manualLayout>
      </c:layout>
      <c:barChart>
        <c:barDir val="bar"/>
        <c:grouping val="stacked"/>
        <c:varyColors val="0"/>
        <c:ser>
          <c:idx val="0"/>
          <c:order val="0"/>
          <c:tx>
            <c:strRef>
              <c:f>Sheet4!$B$3:$B$4</c:f>
              <c:strCache>
                <c:ptCount val="1"/>
                <c:pt idx="0">
                  <c:v>Female</c:v>
                </c:pt>
              </c:strCache>
            </c:strRef>
          </c:tx>
          <c:spPr>
            <a:solidFill>
              <a:srgbClr val="FF9393"/>
            </a:solidFill>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723-40EE-B8C3-D110CB08B3AB}"/>
            </c:ext>
          </c:extLst>
        </c:ser>
        <c:ser>
          <c:idx val="1"/>
          <c:order val="1"/>
          <c:tx>
            <c:strRef>
              <c:f>Sheet4!$C$3:$C$4</c:f>
              <c:strCache>
                <c:ptCount val="1"/>
                <c:pt idx="0">
                  <c:v>Male</c:v>
                </c:pt>
              </c:strCache>
            </c:strRef>
          </c:tx>
          <c:spPr>
            <a:solidFill>
              <a:schemeClr val="tx2">
                <a:lumMod val="75000"/>
                <a:lumOff val="25000"/>
              </a:schemeClr>
            </a:solidFill>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E723-40EE-B8C3-D110CB08B3AB}"/>
            </c:ext>
          </c:extLst>
        </c:ser>
        <c:ser>
          <c:idx val="2"/>
          <c:order val="2"/>
          <c:tx>
            <c:strRef>
              <c:f>Sheet4!$D$3:$D$4</c:f>
              <c:strCache>
                <c:ptCount val="1"/>
                <c:pt idx="0">
                  <c:v>Other</c:v>
                </c:pt>
              </c:strCache>
            </c:strRef>
          </c:tx>
          <c:spPr>
            <a:solidFill>
              <a:srgbClr val="FF9966"/>
            </a:solidFill>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E723-40EE-B8C3-D110CB08B3AB}"/>
            </c:ext>
          </c:extLst>
        </c:ser>
        <c:ser>
          <c:idx val="3"/>
          <c:order val="3"/>
          <c:tx>
            <c:strRef>
              <c:f>Sheet4!$E$3:$E$4</c:f>
              <c:strCache>
                <c:ptCount val="1"/>
                <c:pt idx="0">
                  <c:v>Unknown</c:v>
                </c:pt>
              </c:strCache>
            </c:strRef>
          </c:tx>
          <c:spPr>
            <a:solidFill>
              <a:srgbClr val="FF5050"/>
            </a:solidFill>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E723-40EE-B8C3-D110CB08B3AB}"/>
            </c:ext>
          </c:extLst>
        </c:ser>
        <c:dLbls>
          <c:showLegendKey val="0"/>
          <c:showVal val="0"/>
          <c:showCatName val="0"/>
          <c:showSerName val="0"/>
          <c:showPercent val="0"/>
          <c:showBubbleSize val="0"/>
        </c:dLbls>
        <c:gapWidth val="25"/>
        <c:overlap val="100"/>
        <c:axId val="209230848"/>
        <c:axId val="209236736"/>
      </c:barChart>
      <c:catAx>
        <c:axId val="209230848"/>
        <c:scaling>
          <c:orientation val="maxMin"/>
        </c:scaling>
        <c:delete val="0"/>
        <c:axPos val="l"/>
        <c:numFmt formatCode="General" sourceLinked="0"/>
        <c:majorTickMark val="out"/>
        <c:minorTickMark val="none"/>
        <c:tickLblPos val="nextTo"/>
        <c:crossAx val="209236736"/>
        <c:crosses val="autoZero"/>
        <c:auto val="1"/>
        <c:lblAlgn val="ctr"/>
        <c:lblOffset val="100"/>
        <c:noMultiLvlLbl val="0"/>
      </c:catAx>
      <c:valAx>
        <c:axId val="209236736"/>
        <c:scaling>
          <c:orientation val="minMax"/>
        </c:scaling>
        <c:delete val="0"/>
        <c:axPos val="t"/>
        <c:majorGridlines>
          <c:spPr>
            <a:ln>
              <a:noFill/>
            </a:ln>
          </c:spPr>
        </c:majorGridlines>
        <c:numFmt formatCode="General" sourceLinked="1"/>
        <c:majorTickMark val="out"/>
        <c:minorTickMark val="none"/>
        <c:tickLblPos val="nextTo"/>
        <c:crossAx val="209230848"/>
        <c:crosses val="autoZero"/>
        <c:crossBetween val="between"/>
      </c:valAx>
    </c:plotArea>
    <c:plotVisOnly val="1"/>
    <c:dispBlanksAs val="gap"/>
    <c:showDLblsOverMax val="0"/>
  </c:chart>
  <c:spPr>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c:name>
    <c:fmtId val="6"/>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solidFill>
                  <a:schemeClr val="tx1">
                    <a:lumMod val="95000"/>
                    <a:lumOff val="5000"/>
                  </a:schemeClr>
                </a:solidFill>
                <a:latin typeface="Arial Rounded MT Bold" panose="020F0704030504030204" pitchFamily="34" charset="0"/>
              </a:rPr>
              <a:t>Shipping Time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41000">
                <a:srgbClr val="ED684D"/>
              </a:gs>
              <a:gs pos="75960">
                <a:srgbClr val="FB8E60"/>
              </a:gs>
              <a:gs pos="100000">
                <a:srgbClr val="FF9966"/>
              </a:gs>
            </a:gsLst>
            <a:lin ang="5400000" scaled="0"/>
          </a:gradFill>
          <a:ln>
            <a:noFill/>
          </a:ln>
          <a:effectLst/>
        </c:spPr>
        <c:marker>
          <c:symbol val="none"/>
        </c:marker>
      </c:pivotFmt>
      <c:pivotFmt>
        <c:idx val="3"/>
        <c:spPr>
          <a:gradFill>
            <a:gsLst>
              <a:gs pos="0">
                <a:srgbClr val="FF6600"/>
              </a:gs>
              <a:gs pos="67000">
                <a:srgbClr val="FFCC9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28914286487034E-2"/>
          <c:y val="9.5331475147060404E-2"/>
          <c:w val="0.84571345323619351"/>
          <c:h val="0.66124937669266171"/>
        </c:manualLayout>
      </c:layout>
      <c:barChart>
        <c:barDir val="col"/>
        <c:grouping val="clustered"/>
        <c:varyColors val="0"/>
        <c:ser>
          <c:idx val="0"/>
          <c:order val="0"/>
          <c:tx>
            <c:strRef>
              <c:f>Sheet8!$B$3</c:f>
              <c:strCache>
                <c:ptCount val="1"/>
                <c:pt idx="0">
                  <c:v>Total</c:v>
                </c:pt>
              </c:strCache>
            </c:strRef>
          </c:tx>
          <c:spPr>
            <a:gradFill>
              <a:gsLst>
                <a:gs pos="0">
                  <a:srgbClr val="FF6600"/>
                </a:gs>
                <a:gs pos="67000">
                  <a:srgbClr val="FFCC99"/>
                </a:gs>
              </a:gsLst>
              <a:lin ang="5400000" scaled="1"/>
            </a:gradFill>
            <a:ln>
              <a:noFill/>
            </a:ln>
            <a:effectLst/>
          </c:spPr>
          <c:invertIfNegative val="0"/>
          <c:cat>
            <c:strRef>
              <c:f>Sheet8!$A$4:$A$19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Sheet8!$B$4:$B$19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E2B-4F27-878F-8857C2BFDDAE}"/>
            </c:ext>
          </c:extLst>
        </c:ser>
        <c:dLbls>
          <c:showLegendKey val="0"/>
          <c:showVal val="0"/>
          <c:showCatName val="0"/>
          <c:showSerName val="0"/>
          <c:showPercent val="0"/>
          <c:showBubbleSize val="0"/>
        </c:dLbls>
        <c:gapWidth val="6"/>
        <c:overlap val="-27"/>
        <c:axId val="1410642528"/>
        <c:axId val="1410642112"/>
      </c:barChart>
      <c:catAx>
        <c:axId val="14106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0642112"/>
        <c:crosses val="autoZero"/>
        <c:auto val="1"/>
        <c:lblAlgn val="ctr"/>
        <c:lblOffset val="100"/>
        <c:noMultiLvlLbl val="0"/>
      </c:catAx>
      <c:valAx>
        <c:axId val="141064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0642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[ecommerce-blank.xlsx]Sheet8!PivotTable2</c:name>
    <c:fmtId val="1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76000">
                <a:srgbClr val="FF9393"/>
              </a:gs>
              <a:gs pos="100000">
                <a:srgbClr val="FFCC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9000">
                <a:srgbClr val="C53F3F"/>
              </a:gs>
              <a:gs pos="0">
                <a:schemeClr val="accent5">
                  <a:lumMod val="50000"/>
                </a:schemeClr>
              </a:gs>
            </a:gsLst>
            <a:lin ang="5400000" scaled="1"/>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rgbClr val="192F61"/>
              </a:gs>
              <a:gs pos="40000">
                <a:srgbClr val="0070C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rgbClr val="F04134"/>
              </a:gs>
              <a:gs pos="62000">
                <a:srgbClr val="FB6C6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Sheet8!$F$5:$F$6</c:f>
              <c:strCache>
                <c:ptCount val="1"/>
                <c:pt idx="0">
                  <c:v>1</c:v>
                </c:pt>
              </c:strCache>
            </c:strRef>
          </c:tx>
          <c:spPr>
            <a:solidFill>
              <a:srgbClr val="FFFF66"/>
            </a:solidFill>
            <a:ln>
              <a:noFill/>
            </a:ln>
            <a:effectLst/>
          </c:spPr>
          <c:invertIfNegative val="0"/>
          <c:cat>
            <c:strRef>
              <c:f>Sheet8!$E$7:$E$10</c:f>
              <c:strCache>
                <c:ptCount val="3"/>
                <c:pt idx="0">
                  <c:v>Jan</c:v>
                </c:pt>
                <c:pt idx="1">
                  <c:v>Feb</c:v>
                </c:pt>
                <c:pt idx="2">
                  <c:v>Mar</c:v>
                </c:pt>
              </c:strCache>
            </c:strRef>
          </c:cat>
          <c:val>
            <c:numRef>
              <c:f>Sheet8!$F$7:$F$10</c:f>
              <c:numCache>
                <c:formatCode>General</c:formatCode>
                <c:ptCount val="3"/>
                <c:pt idx="0">
                  <c:v>7</c:v>
                </c:pt>
                <c:pt idx="1">
                  <c:v>8</c:v>
                </c:pt>
                <c:pt idx="2">
                  <c:v>6</c:v>
                </c:pt>
              </c:numCache>
            </c:numRef>
          </c:val>
          <c:extLst>
            <c:ext xmlns:c16="http://schemas.microsoft.com/office/drawing/2014/chart" uri="{C3380CC4-5D6E-409C-BE32-E72D297353CC}">
              <c16:uniqueId val="{00000000-CA9F-4B16-8858-A2E97A7EA4BA}"/>
            </c:ext>
          </c:extLst>
        </c:ser>
        <c:ser>
          <c:idx val="1"/>
          <c:order val="1"/>
          <c:tx>
            <c:strRef>
              <c:f>Sheet8!$G$5:$G$6</c:f>
              <c:strCache>
                <c:ptCount val="1"/>
                <c:pt idx="0">
                  <c:v>2</c:v>
                </c:pt>
              </c:strCache>
            </c:strRef>
          </c:tx>
          <c:spPr>
            <a:gradFill>
              <a:gsLst>
                <a:gs pos="76000">
                  <a:srgbClr val="FF9393"/>
                </a:gs>
                <a:gs pos="100000">
                  <a:srgbClr val="FFCCCC"/>
                </a:gs>
              </a:gsLst>
              <a:lin ang="5400000" scaled="1"/>
            </a:gradFill>
            <a:ln>
              <a:noFill/>
            </a:ln>
            <a:effectLst/>
          </c:spPr>
          <c:invertIfNegative val="0"/>
          <c:cat>
            <c:strRef>
              <c:f>Sheet8!$E$7:$E$10</c:f>
              <c:strCache>
                <c:ptCount val="3"/>
                <c:pt idx="0">
                  <c:v>Jan</c:v>
                </c:pt>
                <c:pt idx="1">
                  <c:v>Feb</c:v>
                </c:pt>
                <c:pt idx="2">
                  <c:v>Mar</c:v>
                </c:pt>
              </c:strCache>
            </c:strRef>
          </c:cat>
          <c:val>
            <c:numRef>
              <c:f>Sheet8!$G$7:$G$10</c:f>
              <c:numCache>
                <c:formatCode>General</c:formatCode>
                <c:ptCount val="3"/>
                <c:pt idx="0">
                  <c:v>37</c:v>
                </c:pt>
                <c:pt idx="1">
                  <c:v>51</c:v>
                </c:pt>
                <c:pt idx="2">
                  <c:v>39</c:v>
                </c:pt>
              </c:numCache>
            </c:numRef>
          </c:val>
          <c:extLst>
            <c:ext xmlns:c16="http://schemas.microsoft.com/office/drawing/2014/chart" uri="{C3380CC4-5D6E-409C-BE32-E72D297353CC}">
              <c16:uniqueId val="{00000001-CA9F-4B16-8858-A2E97A7EA4BA}"/>
            </c:ext>
          </c:extLst>
        </c:ser>
        <c:ser>
          <c:idx val="2"/>
          <c:order val="2"/>
          <c:tx>
            <c:strRef>
              <c:f>Sheet8!$H$5:$H$6</c:f>
              <c:strCache>
                <c:ptCount val="1"/>
                <c:pt idx="0">
                  <c:v>3</c:v>
                </c:pt>
              </c:strCache>
            </c:strRef>
          </c:tx>
          <c:spPr>
            <a:gradFill>
              <a:gsLst>
                <a:gs pos="19000">
                  <a:srgbClr val="C53F3F"/>
                </a:gs>
                <a:gs pos="0">
                  <a:schemeClr val="accent5">
                    <a:lumMod val="50000"/>
                  </a:schemeClr>
                </a:gs>
              </a:gsLst>
              <a:lin ang="5400000" scaled="1"/>
            </a:gradFill>
            <a:ln>
              <a:solidFill>
                <a:schemeClr val="bg1"/>
              </a:solidFill>
            </a:ln>
            <a:effectLst/>
          </c:spPr>
          <c:invertIfNegative val="0"/>
          <c:cat>
            <c:strRef>
              <c:f>Sheet8!$E$7:$E$10</c:f>
              <c:strCache>
                <c:ptCount val="3"/>
                <c:pt idx="0">
                  <c:v>Jan</c:v>
                </c:pt>
                <c:pt idx="1">
                  <c:v>Feb</c:v>
                </c:pt>
                <c:pt idx="2">
                  <c:v>Mar</c:v>
                </c:pt>
              </c:strCache>
            </c:strRef>
          </c:cat>
          <c:val>
            <c:numRef>
              <c:f>Sheet8!$H$7:$H$10</c:f>
              <c:numCache>
                <c:formatCode>General</c:formatCode>
                <c:ptCount val="3"/>
                <c:pt idx="0">
                  <c:v>150</c:v>
                </c:pt>
                <c:pt idx="1">
                  <c:v>182</c:v>
                </c:pt>
                <c:pt idx="2">
                  <c:v>163</c:v>
                </c:pt>
              </c:numCache>
            </c:numRef>
          </c:val>
          <c:extLst>
            <c:ext xmlns:c16="http://schemas.microsoft.com/office/drawing/2014/chart" uri="{C3380CC4-5D6E-409C-BE32-E72D297353CC}">
              <c16:uniqueId val="{00000002-CA9F-4B16-8858-A2E97A7EA4BA}"/>
            </c:ext>
          </c:extLst>
        </c:ser>
        <c:ser>
          <c:idx val="3"/>
          <c:order val="3"/>
          <c:tx>
            <c:strRef>
              <c:f>Sheet8!$I$5:$I$6</c:f>
              <c:strCache>
                <c:ptCount val="1"/>
                <c:pt idx="0">
                  <c:v>4</c:v>
                </c:pt>
              </c:strCache>
            </c:strRef>
          </c:tx>
          <c:spPr>
            <a:gradFill>
              <a:gsLst>
                <a:gs pos="0">
                  <a:srgbClr val="192F61"/>
                </a:gs>
                <a:gs pos="40000">
                  <a:srgbClr val="0070C0"/>
                </a:gs>
              </a:gsLst>
              <a:lin ang="5400000" scaled="1"/>
            </a:gradFill>
            <a:ln>
              <a:noFill/>
            </a:ln>
            <a:effectLst/>
          </c:spPr>
          <c:invertIfNegative val="0"/>
          <c:cat>
            <c:strRef>
              <c:f>Sheet8!$E$7:$E$10</c:f>
              <c:strCache>
                <c:ptCount val="3"/>
                <c:pt idx="0">
                  <c:v>Jan</c:v>
                </c:pt>
                <c:pt idx="1">
                  <c:v>Feb</c:v>
                </c:pt>
                <c:pt idx="2">
                  <c:v>Mar</c:v>
                </c:pt>
              </c:strCache>
            </c:strRef>
          </c:cat>
          <c:val>
            <c:numRef>
              <c:f>Sheet8!$I$7:$I$10</c:f>
              <c:numCache>
                <c:formatCode>General</c:formatCode>
                <c:ptCount val="3"/>
                <c:pt idx="0">
                  <c:v>312</c:v>
                </c:pt>
                <c:pt idx="1">
                  <c:v>373</c:v>
                </c:pt>
                <c:pt idx="2">
                  <c:v>351</c:v>
                </c:pt>
              </c:numCache>
            </c:numRef>
          </c:val>
          <c:extLst>
            <c:ext xmlns:c16="http://schemas.microsoft.com/office/drawing/2014/chart" uri="{C3380CC4-5D6E-409C-BE32-E72D297353CC}">
              <c16:uniqueId val="{00000003-CA9F-4B16-8858-A2E97A7EA4BA}"/>
            </c:ext>
          </c:extLst>
        </c:ser>
        <c:ser>
          <c:idx val="4"/>
          <c:order val="4"/>
          <c:tx>
            <c:strRef>
              <c:f>Sheet8!$J$5:$J$6</c:f>
              <c:strCache>
                <c:ptCount val="1"/>
                <c:pt idx="0">
                  <c:v>5</c:v>
                </c:pt>
              </c:strCache>
            </c:strRef>
          </c:tx>
          <c:spPr>
            <a:gradFill>
              <a:gsLst>
                <a:gs pos="0">
                  <a:srgbClr val="F04134"/>
                </a:gs>
                <a:gs pos="62000">
                  <a:srgbClr val="FB6C61"/>
                </a:gs>
              </a:gsLst>
              <a:lin ang="5400000" scaled="1"/>
            </a:gradFill>
            <a:ln>
              <a:noFill/>
            </a:ln>
            <a:effectLst/>
          </c:spPr>
          <c:invertIfNegative val="0"/>
          <c:cat>
            <c:strRef>
              <c:f>Sheet8!$E$7:$E$10</c:f>
              <c:strCache>
                <c:ptCount val="3"/>
                <c:pt idx="0">
                  <c:v>Jan</c:v>
                </c:pt>
                <c:pt idx="1">
                  <c:v>Feb</c:v>
                </c:pt>
                <c:pt idx="2">
                  <c:v>Mar</c:v>
                </c:pt>
              </c:strCache>
            </c:strRef>
          </c:cat>
          <c:val>
            <c:numRef>
              <c:f>Sheet8!$J$7:$J$10</c:f>
              <c:numCache>
                <c:formatCode>General</c:formatCode>
                <c:ptCount val="3"/>
                <c:pt idx="0">
                  <c:v>224</c:v>
                </c:pt>
                <c:pt idx="1">
                  <c:v>247</c:v>
                </c:pt>
                <c:pt idx="2">
                  <c:v>250</c:v>
                </c:pt>
              </c:numCache>
            </c:numRef>
          </c:val>
          <c:extLst>
            <c:ext xmlns:c16="http://schemas.microsoft.com/office/drawing/2014/chart" uri="{C3380CC4-5D6E-409C-BE32-E72D297353CC}">
              <c16:uniqueId val="{00000004-CA9F-4B16-8858-A2E97A7EA4BA}"/>
            </c:ext>
          </c:extLst>
        </c:ser>
        <c:dLbls>
          <c:showLegendKey val="0"/>
          <c:showVal val="0"/>
          <c:showCatName val="0"/>
          <c:showSerName val="0"/>
          <c:showPercent val="0"/>
          <c:showBubbleSize val="0"/>
        </c:dLbls>
        <c:gapWidth val="219"/>
        <c:overlap val="-27"/>
        <c:axId val="1463252800"/>
        <c:axId val="1463237408"/>
      </c:barChart>
      <c:catAx>
        <c:axId val="1463252800"/>
        <c:scaling>
          <c:orientation val="minMax"/>
        </c:scaling>
        <c:delete val="1"/>
        <c:axPos val="b"/>
        <c:numFmt formatCode="General" sourceLinked="1"/>
        <c:majorTickMark val="none"/>
        <c:minorTickMark val="none"/>
        <c:tickLblPos val="nextTo"/>
        <c:crossAx val="1463237408"/>
        <c:crosses val="autoZero"/>
        <c:auto val="1"/>
        <c:lblAlgn val="ctr"/>
        <c:lblOffset val="100"/>
        <c:noMultiLvlLbl val="0"/>
      </c:catAx>
      <c:valAx>
        <c:axId val="1463237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52800"/>
        <c:crosses val="autoZero"/>
        <c:crossBetween val="between"/>
      </c:valAx>
      <c:spPr>
        <a:noFill/>
        <a:ln w="25400">
          <a:noFill/>
        </a:ln>
        <a:effectLst/>
      </c:spPr>
    </c:plotArea>
    <c:plotVisOnly val="1"/>
    <c:dispBlanksAs val="gap"/>
    <c:showDLblsOverMax val="0"/>
  </c:chart>
  <c:spPr>
    <a:noFill/>
    <a:ln w="9525" cap="flat" cmpd="sng" algn="ctr">
      <a:gradFill>
        <a:gsLst>
          <a:gs pos="83000">
            <a:srgbClr val="FF9393"/>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[ecommerce-blank.xlsx]Sheet4!PivotTable21</c:name>
    <c:fmtId val="11"/>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pivotFmt>
      <c:pivotFmt>
        <c:idx val="5"/>
      </c:pivotFmt>
      <c:pivotFmt>
        <c:idx val="6"/>
        <c:spPr>
          <a:solidFill>
            <a:srgbClr val="FF5050"/>
          </a:solidFill>
        </c:spPr>
      </c:pivotFmt>
      <c:pivotFmt>
        <c:idx val="7"/>
        <c:spPr>
          <a:solidFill>
            <a:srgbClr val="FF9966"/>
          </a:solidFill>
        </c:spPr>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F9999"/>
          </a:solidFill>
        </c:spPr>
        <c:dLbl>
          <c:idx val="0"/>
          <c:layout>
            <c:manualLayout>
              <c:x val="9.5411961805164272E-2"/>
              <c:y val="9.8073537134090463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70C0"/>
          </a:solidFill>
        </c:spPr>
        <c:dLbl>
          <c:idx val="0"/>
          <c:layout>
            <c:manualLayout>
              <c:x val="-0.10904224206304487"/>
              <c:y val="9.8073537134090463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F04134"/>
          </a:solidFill>
        </c:spPr>
        <c:dLbl>
          <c:idx val="0"/>
          <c:layout>
            <c:manualLayout>
              <c:x val="0.25197011742559738"/>
              <c:y val="2.7323659337870627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F9966"/>
          </a:solidFill>
        </c:spPr>
        <c:dLbl>
          <c:idx val="0"/>
          <c:layout>
            <c:manualLayout>
              <c:x val="-0.1868286058619025"/>
              <c:y val="3.2610405611943109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427952224001223"/>
          <c:y val="0.50744955830865457"/>
          <c:w val="0.27990532322428952"/>
          <c:h val="0.23135916688962713"/>
        </c:manualLayout>
      </c:layout>
      <c:doughnutChart>
        <c:varyColors val="1"/>
        <c:ser>
          <c:idx val="0"/>
          <c:order val="0"/>
          <c:tx>
            <c:strRef>
              <c:f>Sheet4!$M$3</c:f>
              <c:strCache>
                <c:ptCount val="1"/>
                <c:pt idx="0">
                  <c:v>Total</c:v>
                </c:pt>
              </c:strCache>
            </c:strRef>
          </c:tx>
          <c:dPt>
            <c:idx val="0"/>
            <c:bubble3D val="0"/>
            <c:spPr>
              <a:solidFill>
                <a:srgbClr val="FF9999"/>
              </a:solidFill>
            </c:spPr>
            <c:extLst>
              <c:ext xmlns:c16="http://schemas.microsoft.com/office/drawing/2014/chart" uri="{C3380CC4-5D6E-409C-BE32-E72D297353CC}">
                <c16:uniqueId val="{00000003-E877-4654-BFE3-C65695413E7D}"/>
              </c:ext>
            </c:extLst>
          </c:dPt>
          <c:dPt>
            <c:idx val="1"/>
            <c:bubble3D val="0"/>
            <c:spPr>
              <a:solidFill>
                <a:srgbClr val="0070C0"/>
              </a:solidFill>
            </c:spPr>
            <c:extLst>
              <c:ext xmlns:c16="http://schemas.microsoft.com/office/drawing/2014/chart" uri="{C3380CC4-5D6E-409C-BE32-E72D297353CC}">
                <c16:uniqueId val="{00000004-E877-4654-BFE3-C65695413E7D}"/>
              </c:ext>
            </c:extLst>
          </c:dPt>
          <c:dPt>
            <c:idx val="2"/>
            <c:bubble3D val="0"/>
            <c:spPr>
              <a:solidFill>
                <a:srgbClr val="FF9966"/>
              </a:solidFill>
            </c:spPr>
            <c:extLst>
              <c:ext xmlns:c16="http://schemas.microsoft.com/office/drawing/2014/chart" uri="{C3380CC4-5D6E-409C-BE32-E72D297353CC}">
                <c16:uniqueId val="{00000006-E877-4654-BFE3-C65695413E7D}"/>
              </c:ext>
            </c:extLst>
          </c:dPt>
          <c:dPt>
            <c:idx val="3"/>
            <c:bubble3D val="0"/>
            <c:spPr>
              <a:solidFill>
                <a:srgbClr val="F04134"/>
              </a:solidFill>
            </c:spPr>
            <c:extLst>
              <c:ext xmlns:c16="http://schemas.microsoft.com/office/drawing/2014/chart" uri="{C3380CC4-5D6E-409C-BE32-E72D297353CC}">
                <c16:uniqueId val="{00000005-E877-4654-BFE3-C65695413E7D}"/>
              </c:ext>
            </c:extLst>
          </c:dPt>
          <c:dLbls>
            <c:dLbl>
              <c:idx val="0"/>
              <c:layout>
                <c:manualLayout>
                  <c:x val="9.5411961805164272E-2"/>
                  <c:y val="9.80735371340904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77-4654-BFE3-C65695413E7D}"/>
                </c:ext>
              </c:extLst>
            </c:dLbl>
            <c:dLbl>
              <c:idx val="1"/>
              <c:layout>
                <c:manualLayout>
                  <c:x val="-0.10904224206304487"/>
                  <c:y val="9.80735371340904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877-4654-BFE3-C65695413E7D}"/>
                </c:ext>
              </c:extLst>
            </c:dLbl>
            <c:dLbl>
              <c:idx val="2"/>
              <c:layout>
                <c:manualLayout>
                  <c:x val="-0.1868286058619025"/>
                  <c:y val="3.26104056119431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877-4654-BFE3-C65695413E7D}"/>
                </c:ext>
              </c:extLst>
            </c:dLbl>
            <c:dLbl>
              <c:idx val="3"/>
              <c:layout>
                <c:manualLayout>
                  <c:x val="0.25197011742559738"/>
                  <c:y val="2.73236593378706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77-4654-BFE3-C65695413E7D}"/>
                </c:ext>
              </c:extLst>
            </c:dLbl>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Sheet4!$L$4:$L$8</c:f>
              <c:strCache>
                <c:ptCount val="4"/>
                <c:pt idx="0">
                  <c:v>Female</c:v>
                </c:pt>
                <c:pt idx="1">
                  <c:v>Male</c:v>
                </c:pt>
                <c:pt idx="2">
                  <c:v>Other</c:v>
                </c:pt>
                <c:pt idx="3">
                  <c:v>Unknown</c:v>
                </c:pt>
              </c:strCache>
            </c:strRef>
          </c:cat>
          <c:val>
            <c:numRef>
              <c:f>Sheet4!$M$4:$M$8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2-E877-4654-BFE3-C65695413E7D}"/>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tx1">
                    <a:lumMod val="95000"/>
                    <a:lumOff val="5000"/>
                  </a:schemeClr>
                </a:solidFill>
                <a:latin typeface="Arial Rounded MT Bold" panose="020F0704030504030204" pitchFamily="34" charset="0"/>
              </a:rPr>
              <a:t>Customer</a:t>
            </a:r>
            <a:r>
              <a:rPr lang="en-IN" sz="1400" baseline="0">
                <a:solidFill>
                  <a:schemeClr val="tx1">
                    <a:lumMod val="95000"/>
                    <a:lumOff val="5000"/>
                  </a:schemeClr>
                </a:solidFill>
                <a:latin typeface="Arial Rounded MT Bold" panose="020F0704030504030204" pitchFamily="34" charset="0"/>
              </a:rPr>
              <a:t> Satisfaction</a:t>
            </a:r>
            <a:endParaRPr lang="en-IN" sz="1400">
              <a:solidFill>
                <a:schemeClr val="tx1">
                  <a:lumMod val="95000"/>
                  <a:lumOff val="5000"/>
                </a:schemeClr>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3000">
                <a:srgbClr val="FF6600"/>
              </a:gs>
              <a:gs pos="92000">
                <a:srgbClr val="FFCC9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3000">
                <a:srgbClr val="003296"/>
              </a:gs>
              <a:gs pos="57000">
                <a:srgbClr val="0070C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3000">
                <a:srgbClr val="FF9999"/>
              </a:gs>
              <a:gs pos="57000">
                <a:srgbClr val="FFCC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80000">
                <a:schemeClr val="accent5">
                  <a:lumMod val="60000"/>
                  <a:lumOff val="40000"/>
                </a:schemeClr>
              </a:gs>
              <a:gs pos="12000">
                <a:schemeClr val="accent5">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Sheet8!$F$5:$F$6</c:f>
              <c:strCache>
                <c:ptCount val="1"/>
                <c:pt idx="0">
                  <c:v>1</c:v>
                </c:pt>
              </c:strCache>
            </c:strRef>
          </c:tx>
          <c:spPr>
            <a:solidFill>
              <a:srgbClr val="FFFF00"/>
            </a:solidFill>
            <a:ln>
              <a:noFill/>
            </a:ln>
            <a:effectLst/>
          </c:spPr>
          <c:invertIfNegative val="0"/>
          <c:cat>
            <c:strRef>
              <c:f>Sheet8!$E$7:$E$10</c:f>
              <c:strCache>
                <c:ptCount val="3"/>
                <c:pt idx="0">
                  <c:v>Jan</c:v>
                </c:pt>
                <c:pt idx="1">
                  <c:v>Feb</c:v>
                </c:pt>
                <c:pt idx="2">
                  <c:v>Mar</c:v>
                </c:pt>
              </c:strCache>
            </c:strRef>
          </c:cat>
          <c:val>
            <c:numRef>
              <c:f>Sheet8!$F$7:$F$10</c:f>
              <c:numCache>
                <c:formatCode>General</c:formatCode>
                <c:ptCount val="3"/>
                <c:pt idx="0">
                  <c:v>7</c:v>
                </c:pt>
                <c:pt idx="1">
                  <c:v>8</c:v>
                </c:pt>
                <c:pt idx="2">
                  <c:v>6</c:v>
                </c:pt>
              </c:numCache>
            </c:numRef>
          </c:val>
          <c:extLst>
            <c:ext xmlns:c16="http://schemas.microsoft.com/office/drawing/2014/chart" uri="{C3380CC4-5D6E-409C-BE32-E72D297353CC}">
              <c16:uniqueId val="{00000000-2E85-41BC-A753-BFFB37638DFC}"/>
            </c:ext>
          </c:extLst>
        </c:ser>
        <c:ser>
          <c:idx val="1"/>
          <c:order val="1"/>
          <c:tx>
            <c:strRef>
              <c:f>Sheet8!$G$5:$G$6</c:f>
              <c:strCache>
                <c:ptCount val="1"/>
                <c:pt idx="0">
                  <c:v>2</c:v>
                </c:pt>
              </c:strCache>
            </c:strRef>
          </c:tx>
          <c:spPr>
            <a:gradFill>
              <a:gsLst>
                <a:gs pos="13000">
                  <a:srgbClr val="FF6600"/>
                </a:gs>
                <a:gs pos="92000">
                  <a:srgbClr val="FFCC99"/>
                </a:gs>
              </a:gsLst>
              <a:lin ang="5400000" scaled="1"/>
            </a:gradFill>
            <a:ln>
              <a:noFill/>
            </a:ln>
            <a:effectLst/>
          </c:spPr>
          <c:invertIfNegative val="0"/>
          <c:cat>
            <c:strRef>
              <c:f>Sheet8!$E$7:$E$10</c:f>
              <c:strCache>
                <c:ptCount val="3"/>
                <c:pt idx="0">
                  <c:v>Jan</c:v>
                </c:pt>
                <c:pt idx="1">
                  <c:v>Feb</c:v>
                </c:pt>
                <c:pt idx="2">
                  <c:v>Mar</c:v>
                </c:pt>
              </c:strCache>
            </c:strRef>
          </c:cat>
          <c:val>
            <c:numRef>
              <c:f>Sheet8!$G$7:$G$10</c:f>
              <c:numCache>
                <c:formatCode>General</c:formatCode>
                <c:ptCount val="3"/>
                <c:pt idx="0">
                  <c:v>37</c:v>
                </c:pt>
                <c:pt idx="1">
                  <c:v>51</c:v>
                </c:pt>
                <c:pt idx="2">
                  <c:v>39</c:v>
                </c:pt>
              </c:numCache>
            </c:numRef>
          </c:val>
          <c:extLst>
            <c:ext xmlns:c16="http://schemas.microsoft.com/office/drawing/2014/chart" uri="{C3380CC4-5D6E-409C-BE32-E72D297353CC}">
              <c16:uniqueId val="{00000001-2E85-41BC-A753-BFFB37638DFC}"/>
            </c:ext>
          </c:extLst>
        </c:ser>
        <c:ser>
          <c:idx val="2"/>
          <c:order val="2"/>
          <c:tx>
            <c:strRef>
              <c:f>Sheet8!$H$5:$H$6</c:f>
              <c:strCache>
                <c:ptCount val="1"/>
                <c:pt idx="0">
                  <c:v>3</c:v>
                </c:pt>
              </c:strCache>
            </c:strRef>
          </c:tx>
          <c:spPr>
            <a:gradFill>
              <a:gsLst>
                <a:gs pos="13000">
                  <a:srgbClr val="003296"/>
                </a:gs>
                <a:gs pos="57000">
                  <a:srgbClr val="0070C0"/>
                </a:gs>
              </a:gsLst>
              <a:lin ang="5400000" scaled="1"/>
            </a:gradFill>
            <a:ln>
              <a:noFill/>
            </a:ln>
            <a:effectLst/>
          </c:spPr>
          <c:invertIfNegative val="0"/>
          <c:cat>
            <c:strRef>
              <c:f>Sheet8!$E$7:$E$10</c:f>
              <c:strCache>
                <c:ptCount val="3"/>
                <c:pt idx="0">
                  <c:v>Jan</c:v>
                </c:pt>
                <c:pt idx="1">
                  <c:v>Feb</c:v>
                </c:pt>
                <c:pt idx="2">
                  <c:v>Mar</c:v>
                </c:pt>
              </c:strCache>
            </c:strRef>
          </c:cat>
          <c:val>
            <c:numRef>
              <c:f>Sheet8!$H$7:$H$10</c:f>
              <c:numCache>
                <c:formatCode>General</c:formatCode>
                <c:ptCount val="3"/>
                <c:pt idx="0">
                  <c:v>150</c:v>
                </c:pt>
                <c:pt idx="1">
                  <c:v>182</c:v>
                </c:pt>
                <c:pt idx="2">
                  <c:v>163</c:v>
                </c:pt>
              </c:numCache>
            </c:numRef>
          </c:val>
          <c:extLst>
            <c:ext xmlns:c16="http://schemas.microsoft.com/office/drawing/2014/chart" uri="{C3380CC4-5D6E-409C-BE32-E72D297353CC}">
              <c16:uniqueId val="{00000002-2E85-41BC-A753-BFFB37638DFC}"/>
            </c:ext>
          </c:extLst>
        </c:ser>
        <c:ser>
          <c:idx val="3"/>
          <c:order val="3"/>
          <c:tx>
            <c:strRef>
              <c:f>Sheet8!$I$5:$I$6</c:f>
              <c:strCache>
                <c:ptCount val="1"/>
                <c:pt idx="0">
                  <c:v>4</c:v>
                </c:pt>
              </c:strCache>
            </c:strRef>
          </c:tx>
          <c:spPr>
            <a:gradFill>
              <a:gsLst>
                <a:gs pos="13000">
                  <a:srgbClr val="FF9999"/>
                </a:gs>
                <a:gs pos="57000">
                  <a:srgbClr val="FFCCCC"/>
                </a:gs>
              </a:gsLst>
              <a:lin ang="5400000" scaled="1"/>
            </a:gradFill>
            <a:ln>
              <a:noFill/>
            </a:ln>
            <a:effectLst/>
          </c:spPr>
          <c:invertIfNegative val="0"/>
          <c:cat>
            <c:strRef>
              <c:f>Sheet8!$E$7:$E$10</c:f>
              <c:strCache>
                <c:ptCount val="3"/>
                <c:pt idx="0">
                  <c:v>Jan</c:v>
                </c:pt>
                <c:pt idx="1">
                  <c:v>Feb</c:v>
                </c:pt>
                <c:pt idx="2">
                  <c:v>Mar</c:v>
                </c:pt>
              </c:strCache>
            </c:strRef>
          </c:cat>
          <c:val>
            <c:numRef>
              <c:f>Sheet8!$I$7:$I$10</c:f>
              <c:numCache>
                <c:formatCode>General</c:formatCode>
                <c:ptCount val="3"/>
                <c:pt idx="0">
                  <c:v>312</c:v>
                </c:pt>
                <c:pt idx="1">
                  <c:v>373</c:v>
                </c:pt>
                <c:pt idx="2">
                  <c:v>351</c:v>
                </c:pt>
              </c:numCache>
            </c:numRef>
          </c:val>
          <c:extLst>
            <c:ext xmlns:c16="http://schemas.microsoft.com/office/drawing/2014/chart" uri="{C3380CC4-5D6E-409C-BE32-E72D297353CC}">
              <c16:uniqueId val="{00000003-2E85-41BC-A753-BFFB37638DFC}"/>
            </c:ext>
          </c:extLst>
        </c:ser>
        <c:ser>
          <c:idx val="4"/>
          <c:order val="4"/>
          <c:tx>
            <c:strRef>
              <c:f>Sheet8!$J$5:$J$6</c:f>
              <c:strCache>
                <c:ptCount val="1"/>
                <c:pt idx="0">
                  <c:v>5</c:v>
                </c:pt>
              </c:strCache>
            </c:strRef>
          </c:tx>
          <c:spPr>
            <a:gradFill>
              <a:gsLst>
                <a:gs pos="80000">
                  <a:schemeClr val="accent5">
                    <a:lumMod val="60000"/>
                    <a:lumOff val="40000"/>
                  </a:schemeClr>
                </a:gs>
                <a:gs pos="12000">
                  <a:schemeClr val="accent5">
                    <a:lumMod val="75000"/>
                  </a:schemeClr>
                </a:gs>
              </a:gsLst>
              <a:lin ang="5400000" scaled="1"/>
            </a:gradFill>
            <a:ln>
              <a:noFill/>
            </a:ln>
            <a:effectLst/>
          </c:spPr>
          <c:invertIfNegative val="0"/>
          <c:cat>
            <c:strRef>
              <c:f>Sheet8!$E$7:$E$10</c:f>
              <c:strCache>
                <c:ptCount val="3"/>
                <c:pt idx="0">
                  <c:v>Jan</c:v>
                </c:pt>
                <c:pt idx="1">
                  <c:v>Feb</c:v>
                </c:pt>
                <c:pt idx="2">
                  <c:v>Mar</c:v>
                </c:pt>
              </c:strCache>
            </c:strRef>
          </c:cat>
          <c:val>
            <c:numRef>
              <c:f>Sheet8!$J$7:$J$10</c:f>
              <c:numCache>
                <c:formatCode>General</c:formatCode>
                <c:ptCount val="3"/>
                <c:pt idx="0">
                  <c:v>224</c:v>
                </c:pt>
                <c:pt idx="1">
                  <c:v>247</c:v>
                </c:pt>
                <c:pt idx="2">
                  <c:v>250</c:v>
                </c:pt>
              </c:numCache>
            </c:numRef>
          </c:val>
          <c:extLst>
            <c:ext xmlns:c16="http://schemas.microsoft.com/office/drawing/2014/chart" uri="{C3380CC4-5D6E-409C-BE32-E72D297353CC}">
              <c16:uniqueId val="{00000004-2E85-41BC-A753-BFFB37638DFC}"/>
            </c:ext>
          </c:extLst>
        </c:ser>
        <c:dLbls>
          <c:showLegendKey val="0"/>
          <c:showVal val="0"/>
          <c:showCatName val="0"/>
          <c:showSerName val="0"/>
          <c:showPercent val="0"/>
          <c:showBubbleSize val="0"/>
        </c:dLbls>
        <c:gapWidth val="219"/>
        <c:overlap val="-27"/>
        <c:axId val="1463252800"/>
        <c:axId val="1463237408"/>
      </c:barChart>
      <c:catAx>
        <c:axId val="14632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7408"/>
        <c:crosses val="autoZero"/>
        <c:auto val="1"/>
        <c:lblAlgn val="ctr"/>
        <c:lblOffset val="100"/>
        <c:noMultiLvlLbl val="0"/>
      </c:catAx>
      <c:valAx>
        <c:axId val="146323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52800"/>
        <c:crosses val="autoZero"/>
        <c:crossBetween val="between"/>
      </c:valAx>
      <c:spPr>
        <a:noFill/>
        <a:ln>
          <a:noFill/>
        </a:ln>
        <a:effectLst/>
      </c:spPr>
    </c:plotArea>
    <c:legend>
      <c:legendPos val="r"/>
      <c:layout>
        <c:manualLayout>
          <c:xMode val="edge"/>
          <c:yMode val="edge"/>
          <c:x val="0.9099626727990654"/>
          <c:y val="0.11017310948700357"/>
          <c:w val="7.8160333954432629E-2"/>
          <c:h val="0.69747732015966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5D136DE-658D-4EF1-B896-CC35EE49B7A2}">
          <cx:tx>
            <cx:txData>
              <cx:f>_xlchart.v5.2</cx:f>
              <cx:v>Sum of Quantity</cx:v>
            </cx:txData>
          </cx:tx>
          <cx:dataId val="0"/>
          <cx:layoutPr>
            <cx:geography cultureLanguage="en-US" cultureRegion="IN" attribution="Powered by Bing">
              <cx:geoCache provider="{E9337A44-BEBE-4D9F-B70C-5C5E7DAFC167}">
                <cx:binary>7H1Zc9w4su5fcfj5Uk0sJICJ6YloshYt1mJJlu1+YZSlMgnuJMD115+kJHtUrCo3dcJ6OBW3epZQ
kwkm+QG5I/Hv+/Zf9/F6Vb5rkzhV/7pv/3wfaJ3/648/1H2wTlbqKJH3Zaay7/roPkv+yL5/l/fr
Px7KVSNT/w9sIvrHfbAq9bp9/59/w2j+OvuQ3a+0zNKP1brsrteqirX6xbWdl96tHhKZzqTSpbzX
6M/37iqW37Mylav3m9cwXMtSXa7euZnSw/9Wqe7ev1unWurutsvXf77fGAy/f/fH+Jlb/L2L4RV0
9QDEhB+ZiAtBCBOPP/7+XZyl/vNlA2F8hAjlFkNw5emxF6sEKF/L1yNXq4eHcq0UvOTj/+8ZZeON
4J6/Jn6V++HrDKj4ANCf7z+lUq8f3t3olV6r9++kyh4/X9m52fDqn24ev9Ufm7j+59+jfwFfb/Rv
XkA//tT/dGkT3X9A/q8YPvTDW4DOjrhJOeY2eQKdbYOOGabMhun0EvNXcLQb7vEAE5AekxwYyLN1
/O4iAxHz+9c2RUfMoozhYYEPvy2Y6RE2KQGYRzi/iqndSG8PMQHrbaIDQ/uvOJfpG0ANYtwWxLKR
RZ+gHotxJI4Y/CyL0fGSnsrRbpxHbzQB5BHFgSF8W2VxlbwJxuxIcCwopcJ8/KGx1DaPCMcIcUw2
MX4NT7tR3hphAs5bNAeG9F/J6iErf7/YhrVMQPWamMNS3bTFTFjEGAtiPs0AmAAb2nkyQ7tBHr3Q
BIhHFAcGsFPpt1DLRBxZCBNq7pPVGB1ZFrURwiOAJzO0G99N8gnwbhIcGLouyGn1Fsa1AKNKYAK6
+ElMg221uYrxkWlyYgtqba7f6RztxndEPwHgEcWhIbyKV/W6XKk3kdFI2BhhxvaAbB7ZfJgG1B6B
/Bqm9uC8NcQUqLeIDgztefxulpWgkt8EbYaFbeFnd1mI8ZIGxSwEgjCJ/cMye6mYX8Xabsy3h5iA
+TbRgWG+gGBS+haA20eMINuyEHpyp8aAD+4Ut+AfNJLh0znajfOIfgLII4oDQ3gZr9P0DVY02GDY
tJDAIJ7H2hkJjhixRjGRyZzsBnaTfAKumwQHButxlXzL4gf9+5GlIIq5jSjdRpYeIRsRE+KeT4t6
UzG/hqXdEG+NMAHlLZoDA/okydelXMW/H2iCQediblGCnkwwCHpsrGRkHVkgwi0EvvTwGzlTr+Fs
N95bI0zAe4vm0PBOu7fRx9zEILHZc3hzSx/zI9DUts35KEt1MpGfPQi/pJ6C7sv7DwzZs3X5ForY
OiLsMRbytEiHVbq5isVjghIRDNmLl0b1VH52I7tBPQHZjfsPDVlIdr+Fj2wfAWiQRqTWXiPahmsQ
5hpDO5WhPdhukE8Bd4PgwND9sIreIuEEyxI0LzMhGP342xHlEshCNmejAMhUfnZju0E9AdqN+w8M
2fNVKfPsTWKY7IhyipnF8RO6O6SysCnjGCbA429TNr+Gs904b40wAestmgPD+8NKqfUb6GBwmSgk
jrl4BtscW9IYgplwmXJ7JKinc7Qb5RH9BIxHFIeGcKbe/ZX663j9FvqYHpkWxoT/0MdbNQL8CFMC
uUcQ68Nv5DB9eB1zexDfMcgU2HeQHRj2N6v03TlUqr2F+/QozhmDCpEnab1VCISPMOaICjrC/FVM
7UZ8e4gJeG8THRja56sHyEy9QVTEPoK8FAQv2XP2cay5QZabNhR0UgQ+9Et/ajpHu3Ee0U8AeURx
cAiX8g2UNYEqIEYtgPc5GTWW4lCwaxEEqlqMQiGDeTSJoX34viSfBO9LggND9yZLs+Qt1i8/okTY
goFl/fjbssUg7Iksm8IK3ly/0znaje+IfgLAI4oDQ/h8Xd5D9bj72yvu2RExbWFz+zkNsbWAwRzn
SIAVRh9nwEglT+drN84j+gk4jygODuf0IbuXb5JGFkdgU0HdNXtOUWwpYwK1QswmZCjN3lDG61cw
tQ/n8RCToB4THRraGYD9+xc1lNpDVa6AYKb9ZGFvpZXNI4tiqPhDo9rc86kM7UF5g3wKwhsEB4fu
myxj8IuhcP6nwN7aRwHVIOA+cQHBsNEyBithymTbh+0L6knQvrj/8JDV63LdTfmar9wBZx/ZzGaM
mPssLnRkg8Flk/FuqHPYmTeVp70Ib44wDeVNmgND+mKVv41djcGoppBs2mtXQ10IFGXzUd3PVH52
I7xBPQHdjfsPDdl1vXqT7Ywgfm3MODGfYx5bPhOCHDKUW1MxykVdTOZoD7qb9FPw3aQ4MIQvyxVE
r99ARhOo9YHyWm7v294GO1ot2BZjj4PW0znajfCIfgLCI4oDQ3gIzH6opHp3+U2qfJJx80p1bB1h
jm1YrvxJUG/5TJCMgloR2B0zMrb+F6ztxnzfQBPA30d6YLPgKl7dr99m6xtY0cNKf97iuEuSs6Hi
Dz+5WaMpMJ2v3ciP6CcAPqI4OJwr6JLxBvJcHAliM9hQ8Vxfv5WQMo9AAIA/TUb19VewuXYaR/sQ
3qCfhPAGxYEhfC1hh5SSD2+jtAU3LUKeK/u2S/sgEgr7p6D8a7SMX8XUbpy3h5gA9TbRgaF9s7ov
oadIqt9CcfMji0ETAtDbe5LMQ4xs+AfKPYffKK79Ot52o75jjAmw76A6ONzToXlQvHqTlDMsYyga
gULAfQkNdAR12Qj8r5EwB2vpNWztw3x7kEmgb5MdHurvnDU0QXqL1W6Dw4WHfex7inthEzs1sQk7
cUY+92AiT+dqL+bjMaZBPqY6SMTLdFU+vE1CC7ZQwdZ1xMlz1e/YPkfsCDqUmGDDbwbCn0B/DWO/
An5rnMngb1Ee4ASYybX/Fiv+sfCAWbDnarxFg8HGOsJhVjzLgm3sJ/O0H/bNISYivkl0YGDfgSFX
vYlGh75gHNa5ua8p4JDwEuCF2+aoxugVLO1GejzABJzHJAeG8k2wepPOj1D1Dc3AYN2SfS0sMLST
AnEP0bjRgp7M0W6MR280AeIRxaEhDBbRAiLn91LdZz8+9e/o7clgK7RpMjC+f0bLNvbWQakghSan
Fic71PVPjqaEf/YA/fLFfg4zBe+dhAcI+2m2KqppVZmvDKNDmSgUiVIMAD/+xpYa2OdYwN48IZ6S
ZlveePruFcztx388yET0x2SHhz14vs6q/PY2LjkdFvZQA7y/f4ktOKEI2lA9/n6Inafevk+O+SvY
24v/jrecNgN2EB7kHHDLqv8pGp9KAH+H6IdtAIwiav6oRxvb7CD6ocEgaIdxSvw5JjORq1/hvvFm
k0HfoDo0xOW6fBN7HbrZ2Cb0/uRPkdVdG/jgIggEvlvYT+ZrD96b9FOw3qQ4OJxVJLus+v3remjp
TMBgwz86d4PhNjbpbOgDbMEen5FIl9N52ofyaIRJOI9oDg3pLF69KLr8ffJ7KDmFNPhQlvj426qC
APlNBSznrfDqZI72oLxJPwXjTYpDQ1ivUqniVfUWaXAG+6pNaDVm72uiAIVr5rAnl43iLHCmwSu4
2oP09hhT0N6mOjTEh7a/b1HcArtBCMbQNPTZKN+yyaDQeFj1W2WKN5M52oP0Jv0UlDcpDgzh23Ww
eovNexBSg2ZjNuyy3+N2gdUNHWEhJYaevPKR0z2dr904j+gn4DyiODScYQMqHJPzBmYYNBmE3kYQ
YHl2n7fqlzDUL0F/SegCvWmG3U5naQ/GowGmgDwiOTSUK6hreIv6JehfRcxhpe45b+ExCzJUNlgj
W/t2Mkd7MN6knwLxJsWBIfw1i98ioQlnpjBoKAjrdOxEgZfFoA0KtAvdXL1TGdkN6wb1BFA37j80
SKtvUJD02/dWDxtuEbT8hK14j7+trmRwtAJ0JOOQ9xohO5GfPci+pJ6C7Mv7/w8g+2sWN154ONPs
rx/fdkck87Xn00FBCZyFYUMge7cjDELYRtAtAXDfFcl+ebLeXu/86XC/7bPp9p3K9/SKv/4ob3Pa
3P6T6H4e8jdb6dX88XjAF4fR/frq46SGsw1HpM870neC+PQtTx7+fG9B0ccLUIcxNraybyPwX6o1
pLb/fG8gBHVFQ18qE04is6CtOgzYrJ8uYUhlDPu6wFHmMAuGBkUpHJcW/PmeQggEDbtyzQF6OOQM
/CmVVcMl6A0MdcccGtRB+hqcZ4F+nt94lcWdn6U/P8jz3+/SKrnKZKrVn+8RPCN/uu2RVdMSYLBD
K0MbojEEUmqgL/L71fXQNRLu/n+6J1leVFV7kTZEzOvGC3InIyGL3Ig19UfbsLrTsK3TaG6akf6q
M1p/iqhqC0eJtPj84uvt4gZsyzE3UGEFnTWhPwQc4jfoqJfc0LTLIxFU9QUuUnThR33qORXL7MBt
a50Jp25o9ZXVuSGdMuG6cIuwjHzH6xWjLmy/SB+E1uYljBFUMxzH6FNvGRwtO9vy1qgzULv4NccY
OpNscQx7bKHBHOQkof+2OeJYsgCw7fQFaS3fn9ltH3+qIbpFFpp1meXUXYvCmWQed3pmd9LpIpMs
k7rs0KysM/0QtEohVxq5NVNwOGft6CQwa4eVVuTP/SwMrqJKnCZKBGoGmkHcqaA4i+LGaudSGfa5
LIM6Wf76rbZhgI0oJrSghuPzoPzp8aVfTArWGX5j5LG6SLUn7jKfI+zQCMPUyNOqvWraUtzkHoq/
/Pqxw1x7ORehLQgcxckIHC0CHYAwGdh68VjLbH2aKz+9SHmPLlAUVBepKl3JveDu10+C5bP1JAEl
nAz6/oFC5aN5lqe064syyC54btJV0WRlvPQ077AT5cHcLKq4d4nZ8cwNidUk/zRphkmx+aIwUaDn
M4UjVKBt+/jxEBmVgZ8m8oIVkbVKwspaRfHAg9Unam6XWeZ0JkC/bOKiwU4RZWytY6FOGtHRD61N
StMlTZhFbsjS5BMpc0xmAe+6dW7U+cw0+oS5lshoeWwRu6+cX3+94SCIMf9sEBuQYYWTNMHO3ATK
tCsrtSzPOEeVl6xkqZXvICPSKXVI16X+aRPI6JvPRf6h7YtgYWe0lS5GNfuuWd9nbhf4zKVZWK9l
SdhDbeUBO/01k9TaAplQApNocGOhVYnFwCx6OZ3skkuzDDQ5D2mRe4LPtAj6ZatbIha6riq3bAvz
Y510VuUEQcDcEqVLhct8GdMcu1FcJNd5bCWtw+LG/9yESXbSKa2d3CryT7aK+MwrUs+tsjCUjtQk
bBwvVOlFkxvqsjB6Mvd9JELH6L00cXEdJMeWreNrHPpXfpeS1okrVlxor7jVODHIzK4xfEjZYZAN
tOp7x2x4+CEOLP7VMyt6Gtgcfej9thZuYwY0gTOQOnli8LJLnKbj/Qw1ljHrw/Y+V4W+qUyDBU6T
aLbwVFGdUA/j2yJATbT0mIGk0weR9w2K38vakWlh/F0lLJnlucInUZbmJ6gQ8YOscxvWPUmiGym8
ljl1Qf3T0isrt4PvsEQUi8uiSdo5bcpigVCL6nkMZ+76bt34vHBrHHjzRJFyVuXiMvAM35whlOlj
UDW4cVMztB2uWfylTczgDJciv7GItpaVCA28UHbSr7idlXNltmG/qCPuL4y2NVdYxc135ee55fZY
m5WT+rj2F60OM1gcTTPv/LriizLzglmsSXKcwq0OtH4tM/jQSc2cUIWh4TKvYQ7LrLZ3qI49l2gj
TZalHc19WnXmx4YgCucdl2bshDCT9ILoRqhlS1j7wY76PvY+Vk2hk8TpZNyl5UPgBRj3X1VjtCwJ
HFGCKM/ucZeEmpRwLllV5eaFjnQStadCFv2yFpX2TpJSytwJcZzdmMwgJ2FHSOVWgIHndIUpWoAr
4XyWeh7oQx1HTTG3o8Y33TLWyLsMCtNm2XHUsSaYdW0s9AdbaQIzqvEypBq3Al24sI0g9C5rWDq2
7xY85zDhSKSSRRrLUjhxAcrLm7e1tF3DA8vVcjrPTCkc4ewliRuIqvEWTcziZK48sAoWVuonvct7
CyRmiiNauUlQGrFTq85XV0oaSTLPfMm/G1XNpDkzM6yXkvKKX1iG53unKWGaWaGbtqrou2MF2b8y
mOd+wJK5p+q+WIhSpXLRxXbSHZtKJblr4S6WLmutLl6WspCGC7Diz0ae9GgGm7aiZAb/NY3LODQN
BZ88TT+HSSKSE1IKHc+jQNvXfaUJWYRGhtFZ0ASKpQ4LcKCXXlnn6Q0oY3Ia+j2OFlUOHMwzHfv9
nKO2Fy4Pu7w5T3gHU9uApVLOPISq05JYVjzzPeJXM5bWAKdkCuyTtA9Jv44j6I4248BAMiNdEhQn
yJT02Jcssl0cRQWZyUx6s77yIssxmjIXV6HXhNQlsgh7J8nD3jgzvZguUO75FrArWD5HXdBnJ4FE
jT+PBA0aZ7jPQUKKFKaPTwq3baTRO7qVxt8ltPnvDEfCOsIXqE9lLx1eU4PcdnGDqws7F102S0Wh
z60qBZXkKxYBgUgIfC1PBij92qM4DU6LLonbhWqsXp4h7etbGmJrZbVe4jkcweRdVGnLyFzZvQTm
KxQms5gUkXJ5480lksXXuGnAsgj9sL5Rlt18y8uAHNes8b05jywTOyn3YBwrzsJ2kZY1uujbnNCP
SlvoFmkD7mhsQ3FXo4618xonoTwuW4ybk5T5Cl9Kg4m71CyGyRmGhVqyWAXqqu2o5q5ZNIBN0KTA
WKZA6J6BBhN3hJswuxOQkuUMepm12YlWwsNXYVlF0TXmqaAnLQ2b6ly3ejA+g669siLDbudZk8Cj
s6zva6fFie6XZsSGlx9Yb0A+AV95gi6olcJbVIUFnyqIsqh3RVTD0sljP5If05LBki8rsAp8uAYy
Fes0uCwQ7crUIXlgAtxN2VbniRHkypFmVbSLFnrAkHlXF3gQGrCYXHgjECCtQIOdrNPkzoNDwE55
LSV3eGBFMC863141KQE22jLsroluTXXmg5kbnmV5GoU3HLTFUqUmuiiEX3yFbTF24QQ0kPg0476o
zrwg8+tZV7KiAQO3I8scw2d1TVZ091EcWVdtpczsuDC7Ovrc2ImvjhPPSL53vRhkiCziYAZ+ACdz
ibtALXI7EZ8N00sWSZP7hcMoiLmubIJrmWl1JpIotGYWLrEPYg9OiHbqAIu7MjRqfx7jFJZJb3hE
nNA0Q8U6AYHcncKRSLA2mkFiz0PLgC/a1n09ByXTFGeorLDteiLWNWhaUptgehfh36Woxa3RgZl+
2gtdoget0k45CUKsPpENhqHaBAW9Sxvf9k9ygKVxjUjYiz6ra33ediy+CWtVOJypY5q0tXXcNzaA
E5lI9cs8jrLsPLVb+sHQJs3mQZEm9ZnfNXngckslwS1YIurBFCmIERCdqnaiQDXKEU3NC9ACXXET
+wWSX1DWE147PVhg3adcE0PAYMor5wEzIv/U8PLmW+CbRu3GTNnRiRQm+tgqw+uXZVUoOZd9BZNU
Yh2SqzaKe+sisfM4doq8Nu1zigLauh1YN2reBDmg1vBU+k7ZswRkh1LxHLWkLWd1jHm57HkBsz+i
rc9mndeZyvVyZRefG6tDt2FQwlwDTSfuYK4n6ioVKQIBi3MRLngS2I3TVl8xrxqOnCiq2ScLp0Uz
ayxf03Pqxby+LjwlSlDuMKPnuSSAJjgOXftBEh1lH1iZB+QKt2Zsn3htJuC92tbwz6PSyJtZojyQ
GWCNVfo8jj3gvxSRv1ABj4JZ05rmSVdQWPedbTPpUC9g549W6XPs4urJyH9ywO+zvCulH+jRn/+5
zRL4z78Hmp/3PIYp/vvXubwvM5V917+8a7nOhppGNb5pY2R4+jN3Q/hi44+tUMqeYMn1WlWx3nNx
fyTlZ7OhIdIArYmIZSLwhP54OdBGOOXHgVE/QmybdD8CKphA1ARKwuzBtId2sPCYlwEVOJjBgidB
KpINzcx+BFRgy54N0Zdh5wdUjSMMLs1zQAUym7BhF/yYYVTokQQRmh8cbuAJQaTnv18GVMauEUQt
CJSkDw2nxdB3euQa6aprCjAmm6vKPPVDF4Rqpv7BO4dKxw3/C94CzndjUCMztBkAk3/I0bz0bJBR
kjCMVH5FGhGayqGWiiInIDglV4FZFvWsyOw2+thn0uYXg2/zpfQZjj7CnvbODcykxafYzl0Fyq0I
YOl48dwmct5L1DlVT9yui688cCXizACXRxwbRXajzdx3ugDN+4Jdt1IdgwRKnCABzSw1mlm0OIUl
dmnw6FvcRSvD88Dgz0/COPzS1SFyexlc+lrNOY5PWACCEbXl97JiIAplM4sLypayACVoJCh2QDQf
F3UeuRULPzF+XBDlwut98W3zBERi6BCUnxZtuo4hMOJ4LXXyLll7uZk5PMm1k5ktdwpVLvK4+uBp
1sx4WhKnbHDk5Mz81qr0lFAjmSGa3tbIPwXX6FPZBrGDpf4cJZ1yg665VzY97WiZLoowP0+DtpmJ
gpGZJT3L9bLyBrKTJaioTM/9jpwnflq6WpGPcSN8t6+rL0ZIFn0DugKaWicOx/p7yIrY5RJnDiuy
qzSjZ6wp6TynhXTiqAiPbYiCOCDFfbcNq3Quc5w7qOaRQ/P+MwIXlACcTlYZ11ZjpE6C49smEbkj
ePTVKErq4CY/AZ0fXsS6QW5gRKfKABViooI6iPsffH1PwmwhKtuVSYNd2hbKFXH62etr6noFT2eZ
j05LXpUzXbNlz6z7XLYNeJjlWcXoPQflNOOh/M4TVrs+Bb+z0OLWL+zvVDZgVsm1LKzGRSo8DnAZ
zFDL3cxPrmqsvqEwBIeFasMhUXoSSzDVaa0XkoNPU5GwdqnSzZwapnCttLqqhPGp9ivlGrE+CUhQ
zhENbvxWF7OM+ZWbemQe07Kc1z6b9xngJ3h4g0ntRnUARpioP0dmbzuys7+HofjbQlEGJh8mC9JG
nmN4QXSeJnHp+qHMXZArn3zQqym18tMgIpd+zNgsyMCmRm37dx3GMHuaoprzBr4HY/3XyPZu7doM
nTpM1xQ19qIuzU+RH39SMsVOa3A5q319njDjuzb4V4N31LGjwIVSSFXMWg801Jz1dobnmnTRSY5h
9s8bWhbecQ5fQ/QCFbeW3/SOZ0cwy0UcfYIIojix+ja8sklzWxT42OjzdaLSExnlsRNn+QPYfIV2
mPTnleZyETX6rCpl+JlSPYttL3aVfZeKebvsgi78kGTgqRjGdVmFAiIJYVzImZeAn1w3/MxgbTYD
rzxzVWxZTg/z1yf5ss3IOVVW4rLSWBpMuTmsTYcE+YXK2JeAW2tpQpQYNGbh0B4tkjh366A7g9D2
ymirs0bL08SqvvoVDQeZc12maB7m6DpD5KRBxnXXsZlt+Hc4sr8qbs0yZJ6Jxr+CyPgVeE/nvdKL
vorAdOseqhpczoCFs0jpaA4GphsV2GGq1E7IrUWZ1xeMZfOyiGKH9P0skFbjZKIFf5sbjmcYl50u
7xIpormHFYTvgwUu2s+GWlsVzMTaZgtCQ5a4XtrEiSO8RqZuWHWGMTfrjt0xv26XRVFiN/Rb7Fo8
1/lFRMiXJKPGDcTA5qxOwVOPQ5BbTpTRvHMSqydL3WWly2MwNjhJ7qJCLUrdfGma+E4VxlczKclH
s7L6K1B4xaKMi1WB0UlQkofW45fgL1+IWPizNOHSsSJwfmVRc9cIY7lI+kTcUnBRz/0kuJG+/y3E
peE2URWflX3H5nmiCbyP2blUB19TDCg2wa2UWTgTxDitavWlAtPyhhskWXiGUk4O/Dm1BN0D/grI
gMqI7Zmq8v7S0Ny4tUPSzbpONHO/zKwUVrn67AlVzahmEPlKKz4rYj2jdl0f10g3Sw+XEKpJsm7Z
pGbg1nEuHF9HEha7tI6bWKBjFdXgW+lrRQO3sNEyrGntZIZ3LyFJ4fQ2us2t7EuJ2hvfKu0TQasv
mWgyh/q9d/HCFtmh2TeD4o9KdzgnZtC4mEOP+pFmt+Mqh+5eRXWV8WZuo8uQ39rAtQWRp5B+/vWz
Nq2I4VmQ8oHIMEJD9wnolr2p4JXKWo0b1Vxxb+5Fd0W3CIx/CIH/0yOG6y+C7RBZjuOmipurHBZm
ZzAnqP+m+c3/4j0g/Aq+J7SvgwTY5kNUEEVtmDbNFSlvi+xDa1wY9cmvH7ENC3yqF4+wNx+hK/BD
EW2bK8pvkmLRJ3oOVkjKVmH3D0/ajCc/g/LiSQMnL75YHNRWYmt4maLrHZTaboBPq+S8qed1cton
/T9E2QfG/5skeHoc5CjgEFATmmhbQwrw5eO0H7Z9qVFzFRdfkIYgtH3rB2dd8uXx+/1uj+T/mq8x
NFN8MZG2Urd/xeA5PazGrsYT2U9XY/AaIAvLIXzIKWEwfX+6GrCDmIGuAmywCU4IXHp2NYZTLMA2
h/ZPFMohIe0Ll37kbuGwGsATqjTggDHoFoTxa1wNCC1sTBELnABwMmzwMhiEN+G4ulEai7d+ISoe
VJeh1PkpjwU9L9P2jKdx4VpVeWcnyawIdXScZizu10EGSuVj1XUQT+6lC6HM+KMI8tTRUfdR+/Q0
U0m2KGIlHdR3kIOMkLGUcU3B9gwWPlhUJxDoNl0/96gDoQg/cEVdpIuEgZV90/n5VxF0mWOA2+Iw
iDaGbo4VPa1boz+18rQNPLfjnTyt4mjWYc841kb53RdpD+lP01t2KINEDIrESVz59V0uOD/D0o7O
OUkhzyBv8grMizlPOnORo8GwKg1zxmoBBivpySyOJXawLSA0gcRZxEo9L3zkWhrrhdXmF9wCi7Am
mVjUcd+C7achfBmkzXHZqAuklHB1WnwtG/9Dh5p5YHYzrPC5Sf2zpteBo8O8ciQ4PWAzcLepVDVP
AWHH9ww9h4f5370ms//u+rD2FoVVBA7kXyA0Hih0LMrqGuzJGx6aaXWS24GhP0qUFseQQXHTIrCP
C6tT6Y2tTVE6QeWx2iHMo0uCmjp0LM/6HnlVczLszFlWaRTN+iS96kJ1YdP8NI2Di8LEZ1wbi0w1
p0Ziz7IewhpF6phh71oyf2hSfC21+Pr/hcdjoML8ZaDirziX6XosOyyo4oF/t3qu+4CNaxQTKJke
2veCjHghOyDiwKAYxLKeqjtAUP2QHRyaB8IPWsuBwIeiDAhu/JAdHI4chSMnoUsJnI4DkuV1dR9b
2VHYaIUhw0+G+AGFLD886aV68UvWhCHh8aWBiq++1BC+reJvqLNOYpSkTmj3riqrObMSx6zZoif+
B9EVFw1PIOTdJMVJIsH9r3zDLVmFF75lLsyM3DSyxnPOssqt/e6DqT2w4QfvAuk7yXHuxij+EFjg
Q9RGeRxHapXY4O9WiD54WIITYSS+61vtWcvrh6hChcsjWIgghed2V1sO6tJ+boLhOSsTq51BpFC7
rBKVSzvTdnWWdos0665wZ1kz7MdnVWsRB2KFXwjkfWcQwn3ITPsUSgLyGUQPcsevVeQkPnGsANLk
KRNX4HB9rr3eh1UuIaYSGI0TMw1/2qF0ez/HTpL4nsO8E+LrRccyzykgiApud3vXB/65ZulZ7uVn
AbyTk3WyBBcdXzcyAj/QT+ZRis89hG+9LtYgh6rEgb5zUPShasgrRwZ3KCXHCemk6/H8M7fAZLfN
zq9816oL6d9oHOZ/Q+birutpc6a5usyJVssYNZCeLMq/Wx/C02m0TPLGdmhlgSncgEyuiIedwOPn
gY/vSKGIU0mI1UBr+HkUVf0MW70/7wVkBvxSgCeQVdfECB6s2MuWkCVxEeQ+zjJ7pdsVJIgWNLdX
qiPZsirNZVwpf17mTZLdCRSkN7EZ59Fa+v1D0wbXPTFBPFZ5xpyoDDhflSi88GB+n5g6NY/Bzs0u
cemJS5p46rQT/8PeuTVJauPB/hOxgUAIeDwC6t7368yLonumBwQCAQIEfPqTtHfW4/U6Tvj5OPbF
693q7qoC6a/MXyYioTFWVhuyw9AvJXcLVyYFjZdrv1xxTpK6tnv4yy+2sWkocRD0Z/0Bzdk7uDqP
O96zqPj3LPb/+5CEFQu3/V8LsnBGh/+1zOFFP5c5dC3gKS9b4N7dAkAMU+wvI5IbEgw6+A/U2q1b
6aca6/4LMi0eBYXnikBJxz/8vsxt9Tufc00Q+Hi2TEz/zojkg4b7dYreRiQgRQywHDINlAK3+eMy
N7WzgUVd+Ddmpm6yztPRLrRLSelDDWTdTvveyPtheQk9jBAmp996P7oM8VKlweZClTN24aEvzoPV
Lm/c5sop3Z5Hazums5mu556ZlMY4yGo9vi9x86WA6AJr9L6i5b5ZhpPne/dd25a4PZeRxxiJMJ94
l6aGyZs74ZOpYp2ouB7gD4mnVZcvAcxvDhdxTthc3wS5fwNhKYs7fQpVd6ygGxzXSfTJWHkRNJV5
D1Au86L2B8a0+9HmwanJxR7uxHskFx6b9XnGYMcrr/a4D6OZM1o3qd+KxJ2xUIdt8WzJ+LWaof8V
VXHwRt3w1oRYugoQC8M0NIls/euq7k6qoj63ff+jmwoCfUsPyaqiG1n3bWLz7qYMpvY01wNMHSny
NKx1Bd+qz5PYzcW1YdpNARFAkevo+iPypup6ouG3VeLDbUVd3HmwjHhh+o8Co9BVqdUxiB1YNl67
7IvGRDdGznUWhhbf2lhQ3udDnlQ15LgybwrIcITt5YQthfVw3Ogc5ndu7pP92pY573KpeN34OQcg
orms/TxzF1UefH9WmSOlty+LDf1aATKxGUajqzX8SkGgYS5Y6aiRO+q2Yketr7K+Hrz9oP06a/zy
gnHuvA7lTdWQ47Dkayrr6IdYS8YhHNHMMdJPl3EpMyLCZV+NucrcsoBKTcmC+bGL90PJsM/M/biP
Pdh9dd6D5YJRfo/VMNqPbVBkKK4qD64LbX2alM+N7zt3CoXjvF7xTruZQepkLttFuTPAfLARX3Te
Zg7sd/hplTwFxth97hWPi2dux9FtsgKaJNdD+64VNB5ZMCAfXUxPbYxdIicbsrhuH5H0mq/WBOVT
A9aAmyJuDssIPtObc82VaMhNEBXw09tVwHML8Rn3zniILNbswlILImKU36tahphJQwHBtnYO7lDu
xkBlQjQxQCWARnUMRR10CtRyWo7cKW2U9m2tEjaV7G4l8105j/fM1lVmvJLIRHnqGrTScICh/WNo
1veBTMVuaMnIVaz6KwlzMvFnlqq+Y0e2WHFhTjjtI9HQe88Zn2WsByd1h3EW+8KbCeFybL9Z/FXh
6lSw90vFTVR0e0cuj8SxZDcXOUvcKT41tccyaxfC42nEqcUsMBfWFXBOnsmmcU4OdQ/S958mUw4J
zkuPdVeewrK5tRBMHSe8MsFXEXrnUbPpdanUh2XDZaaOwxtsk2lkR3sZQaYc4ngouewxkeSVe/Hw
24q2OE8T/dEB5EjIqq5c6xI+xeHzGoHDk+UaYaqov5sQcB7YnaMulzvwzpcxkADHisnfZEO9rySB
Tj4VQToveoa8F4Zga+tjYzCthcYPdhBicSDs6pvRyR/ULL66evzSUiwPkdtOaVj1Z2nJ21wxlpkK
xsVkdL4jI8GZzQe8SKHOlwZy7Epqrsx0ZSL7MiLnn4YOvY3nMOK6DptjFAT4fw4Q08dKTUk76PNY
ugd4vk0yUbErXd3dyHhYODwllztznA5z/2EgjPNggmJdeOwLjkl1kOlmvmq84Zum4bEZg1dYvcFR
1oSX/foOQA0Ylp4PeNNqV3gQ8GqyQhYPr4sSq0ysHe71NqliR/NJE7hf7ABbLy09CZhP2jsA1xfl
GcinUr0PUXwIG/+a5O3eod0+B36F7zSZFcF/D96KSMrEyPGHkSG0HDtkk16OQ02LbAxV4tDqDsiM
g71gTJS/nItB3dWxkxJZPCowwAVrDuGomnSs5aOSQwJeoeeNMCGvl/UggARKWEqumYFke3DJ3A8x
NgvHPuYsexN5JrqVdQXVnjX3roRX8s8Z8PMMuDWH/fVstNV+fj7T+M/HwM/KsX8fA7cyGpjBDGMO
2qPpNun8Mh8hTQvpCP3CeOrpdkL8eQxEuxkgGwQA0H3ymyX9n2MgCikxVcEAJhh2IKqyvzMf/Yle
R34AVTlAkdFVHqIv7Y/TkRnt2NVYE29cfdvnNFvKMP3lQ/kfqjne3x9VTBj1Ie5lFCSHGOzof6mY
zIaVP4bjeGNoeZLhs+PexMGdoQcibu10bchvVyNYif/tvyNz/P/4jdtf9ItM681RL0GoQRRrR4dH
OPzFfDHaq7nOtbmzvY5O0xC016wKBDdsx8qlyzoxiyAbwMpmGCTY1xkNY0fmQzFaupamxGif+1Fx
CbR6biKvStre/T451Y94dl6bFQEMIAbASGFmlXm/JM2iAgxbRZT1yqmxl8v8QCu2Nwu8GTyRzd/l
rdR7scyYrSCVgToafYCCmC1xEH5wbJS0o7yPpukMCAJusZwuTifwLYE1rnE25FhJUrrgdMvsnRAK
7LHjH7Qmt1Phcy9ix8YdJa/K/KxjggOg89Q7JOdT83VawfmEBUi71WQEp0c50D1toxNssZkXTNud
A+RxD7LtSo/h+hB+ylL9p0SlN7WKQbYqN/2q+5SyVtjXbTLW/axvVE4vA8It1029YgAzw5rWo9+9
V250YcxeObS+tKE8zpW96mNx7bjV9bKyF6JiDIWOE3MoJLvek9+QqfmuHB1kNqBXc0vh0fvpVLWX
QdhsHJfj4stbd+1gAnepnJeLBQU0RrAth7WGShnYs5ncl270Mkp1jsFvfQoURkNRL9W1HJvbphr2
Y2Svq7U6uboK+dzCw6yG3vJujhpupsrldFGZKcOnblh6XjpuvvPqdjyOox32Cm7hXSS75aIQ9thh
sT2r+nvs2BtaRPdm7AknhRogI/RgNuuTUPJ2bJwHOzVwdPC1aMydkYx5WA/fw2KEr8DKOy+3WTzW
EENnkkIATim2bhgdBTftlDBL97afdi4V6cAi7F1uqrV+WBt6W4uuSyzOJRx88HQ/L8U9E+TYY/oC
6vtKqyaZw6B/bF3HT0rZ/2igPdQi3vu24esqFKcuTUg1fbg2PzcjSzGdlglWsCPYSpb4gEQYFBEi
8ttCTlc0KKFc1vvZDTIVAjedxRnm1aEPJm7WIQ2Mcw2hPvWsc8RCcbdE+cCFBLLiY0PvYv+Z9ibx
cIckXdVY3gRqOVSYvY69anatzEcECpxTZdZH09qCQzS5lr0GWOemZTnhshZlnIyR9xaP5VsZRle6
UyWfSyCI1vQLF8bWSSCm6PDPpve56XnYhf560/t8ouefN7ztRT8FAYQWgT95MZ5nBd4La9MvGx7s
FOwCPp5V5zM8IAUr909BgOBFyJGEnwm5T6PlJ51F/gX487OCP8aWCKvlb+13f5ID4MnAfomx7eJn
wa/94+bQ6Q7kb4FQVTeWAbCiyiJKFoQ3xJNFDznQEc6aVa22GLFgbLtxiqkNN9oC1rffRW5NhgfL
SB7/sJE59E7ji7e2qksXx4BGOWe8aSNOBHMkyfLVcfJb3HMQqXDKK3DvktGbR4D8wQp+HegSeGoe
NuE2MwM5xGg3+DFOY/2CVRezquyKA066YKUUuFXuz0iFHToodMDlgXtw1lnV3+RUjR0W+MWGWR65
mvEqYqm7DqPzEWBe3v9z6f+m+eNi+etL///Ub991/+drf5uZfl773qewj2fhRhTsX4DZ7PdhDzoZ
FCgwiNs1/KtdGGHWi120MWyVGhCrMCH9LvnjATIBapTobzpZ+HeufQz6f5iMNi0MPKILQWxT5SJE
j/948es2WKtgEebGVf5jpc2DZ4JzTc1dNUOeshMtTrmLYzihh3JZyrSuKrETE7PJMI+Cu13b8XDB
XoIEwb1LcdAt2pBwSweG1Z7cDS6gGxrjZzWhLjIFmucY573H20I99CGovbXRESd6vnI6kHp1U0I0
WicnceZApMiBlJmaPAd6nO2u3aZ+xMNNg6twWptL6Xmg+pjXwW+D3OypcE8NrL5o0jZhBYSHtW8e
iyaCD+jUwN16c+zaYCeiIcepFDGDkNYfCKM9I8jjcOUFB+07D85aES46c7VuzP4a5O9YO0reBeOS
9NpmTX8syYXk/vepeOv9ZIhzzFgQtuw0Ipi3jhjccG5PGzVXqbeaNmuX8s2usDywYHwfB3siQ2t5
7OIN9ZM4mh70khO2fGkyZ72MAznNNPoalOyo3ZLyeMG5GOvkpc97HNvmmdMJw56eyU3FesVzd8xI
5OIr8UPDhzw3x7CnLkc85x5zA72LneLb7DV3polA5ytfJZIUZOd12uMmnMjOZ7B1WgFmUVV9mYrK
Et5jOMMKeFxGSXkAZK+Mmvu5MpDf15FknY88YWRgHLMYQS8Guj/Lu2F6yAcXh2ASv+SOLrmW7b5z
y5Opwkcar2/EyZs9Zi0+wAIopyJOtVeAoEPAh7e0PVh38hI2dCef4L2sfbeP/bpMKkEa97alQ/MQ
iQ6/uN/QI32z0h7Yj9VHb3I2Cuwt1lLzHuM6WD3yCuz1qoe2mDpQjlJp/Y/Zjh9TuCw7M4D06kwk
DsgMvde4RSGvekVSwV3eSTs+BF5uznXknqay/NKu8XntCHxTXey1dS7dsrTcuJG7G3JBuK6E5b0x
10O54vaZHotcvHcFKNXGR0qrdOoHsfoFn73xpfPDY9UN+SEK9AnurYIlxOpdBFaP5cFTX7gFDiMN
luxyfcDPtJduCiaENrTOhpz1yWdAZ+qRtCLx9uXN/pK4TLCUCPpidNkn0zqO3JimORlvnJPZgYBT
LBJ7hlEQZ2ejX3NX5IcGQ+htyQIIbT7Iw2Yhu2isnyNvLUFdFchElJD1PC3xBbVNJlQ5Ip9RSdzt
g3c0EuOnLlmR9t54dNfIPXZRcQyJUHuGv4V3zF84lsUBAC6CX+Wwct01Bzp0h9JhaalXsHjlACZA
OQR3Gh0S5HdmvtAiTOPcpAMlSGDhHyCa3JZ5zLWZnshcnoN+PGkfqBvtH6ZwGvlq6n3hiIo3tVh5
U5HraR6fJJgzrpbitqbjXZXb56iar0y9vhqBmEiF/DivdfmMjOWJzu5hMeZxiDDud2Pjcui8Po/V
fKkMWD2317t6iQxkoPlKgMGrcJzLZkuy0GtP3jg2OFGOP2ggvsqc3CDICq6pve3KEH7lZN6FwDlq
rNZXVUBDpV0UZQgZfTV1CCV7EWAJvPZRF/Q8O63OJoWrBkHrpXr2MZUcJGWNv0dBopcVGhHBQOrf
DuX/2Flb3c1fb+EJZODPjlo8dOB/bOR47X82cnSpbA3SkFiA4AGw+WUjR7E8elh+bsmboPNTtYkg
zcAEiwM46+h12IoNf+7kEHQI9Esc1n7b5f9WxgBZ8T/t5FtoPd6sLZhnjOLv+1XjiOtwjRssFDdq
kojXJn2n3ZOaCT01MJAQO2D101Lm2PRm5xI1ODeXQT2B7GVp0TguBx7+OOfDuYrmh8mdL4vAptcW
LOZI3iBCJVckU4dnWy/XYe0fA8m4DyuYd5vfPM8n1oIenwEByBXCQw3fwArcsSKM533v+z98nPNw
ANv4E1ktCWI6XtZXTsfXiO7GsowSqiC7xqb4sjDcD0bRJYOyW6du3z5ShhWNjg5AWljPPsbwZLED
mM5uSvpGvAAMTQePYYc2Biy+fWdjxUvR1WlAwm+4CyWIXfnKkILjEKeOPvjzsYPxgKznK8vpPgrb
NRHW3xVRj7Ha1AePTUE66ehgZjBTC516RCTn90WL93qYIY8VHQDb4Yt0Y5nUtNoDbDzC7mh2ZLY9
mhwgFUd5+z13KYR00ry2OkBIYVPZxTh8MOGt16Za3mQbiDMUeITNAyhSMBIyp4nIvWfCPqWIKidy
C7VpM8d7a6szCbrpSxRPyC6MqA7ZITKfrDSUGRWh3qnFB1OM5HIWFYXL83iF0+815mpxozmt0DKx
i7App0I5SzLAiMW2VRUwuhCnXlwpssY18ixdrfZRbIcHL5jWZwxkRapdRBAro9wrbFegP2xVfdE9
lk7YA+x1MnV9b3rS3RbMk8eI9POliwXUmUVpJEu6Hs4NpeVF2KbdErLQZfpVeRy6jHifI+lEiHQ5
3bHx3LsK8lRWFLZ9chd88HuBXpCvThnnP2ikxqzeGCs7LGNWAbtaakyAZiOxpo3JMj2yp4C0hmXF
p26zDvCWAcSFmHCcON143W98l9hIr9CdsCZv9Fe4cWAUQBjdyLAOUlH5yYoBGkO0OufVxpE1G1HG
NrZspRUBfA7eLNzIM/0JoUGiC3+j0sCn6Y1Ug6E3PccIaB+ZVpBuNqLNicC2GUBu80a7Ib+bzhv/
9s95zHURtdikg79ezB9HfIz1/6Kwttf9XMihRoAzAECNIpPPo9cvCzketoz4GHrSPMoAT2K1/n0h
Ry8tcr7E+y1hhp3h94Wc4fgG2Rzi+9bM87cWchbgJ/2XPI5ac4YqRTxaDGDoJ77wi1hNpqCvHV3X
N2tQYAwmmPZRGjNXuOwahHSmgFGsbOqKIi+6w5Z1cGGryXa4KUbn2Cig+ta7a4iTjD45WdO+VSP9
IoxKqgYZ1JVc8pge1gJqRuVoRL/C/AsU6LtJiCoDHfoWu4wltADUKMC3JyswonO94E5VCJtikhua
F+0X5xGU9QU54duoQIIi1rGLsC/Ir7h6R0PQzhfktoD22/ZY9BDlfLVkYlw37CYKOhTxjJBWK2Ll
zcj0d6ZxVAjmArNpESKDNFXkGCxgLobw6Iv60V/mj4WuV4bG70qYR7tMOi1VvtdsPDPAD1xP7CbQ
4UnBZ+VxETz5Dlov9PDVFmxnJrRZ9AR7jY2jW5AZUGT1DQTB69KWu9YhKOwIrMQ9j2Mg6Z2XGOgC
1yus9qC8FD3I0LVFTCWuhiPkyI7XyFXssDXWOyxKX1HpcBtM44WOkb5uuzswb7u6ktkSkhuge7vR
n++XzVHdOkH8nrz5BGu6cl7hYL6gCGqHvQ0b32SDg6/qd7mMT63j+mmNKAvHtHu9TPjoumq8c2cB
Yq1i9XNH4VubaOBDBKvd78LpGhntnbACfnmA4/kyTg/I8WT4Z7mTzKh06JrnEX+G6HBKr6SDY6TV
+0C6+Gwikmh3OXcTvgcUYIS8dCOFKT9y+bL49zLSZ2vFd0j6sJwZe6Sa3Tte6CfOwC5xDeBtDMIC
Z/9OwZIu7p1AHINyoPBGsCTPXfkIb/1b5EqElOu7uqi+l03/nMfY8AFL2yTHmzqgPsgmsYNaJKHn
PAk9DwkbUO5oSkqUlhXE3zFdY+RG1mrv0ulQeSAu0D60ZJ4ZPzBrtSllGAjcsH3Vus5i0m5kIT7t
DWBOcr1CTp4JlGbTA/aNIFSscLg5+oDaq3Xpn7q1uhftiFHELXucXXEqkTP6NeqxATrQ67MLcf5C
apAskXmVLLzA47pvJo3mCRnXiUPWdQ8JA9ig6O0uRqELmrO8r23TPUQTvvjA5ukSrNfuKL6LyUEz
xRTcx20EREccrA/OgQhxDDfoL8BFzwGi7+Y1UlsPDWJ8eYVjr4UVAaxvSpx1ecv91SSQ1HPkiPBq
0NOnYQK6UDGUQEBSIKqWNzFz93L16myp7p0S9gPOZlO+viEc/jZMyBDM02OlSDrO0W3lwciy+UoT
JOIwrkjneYkQKhxUmBXrsCuWiZ2kRLS/JUOAr31Cl4WzvOF7XU4If2W6bSnURsyXnkM/vNlcKde5
mkH2ZTKCwuEu65te5WFphyDRKPDA14UsIpTKkC89cG+vsw91aHXSmYEgEJTHCZBV/D0TDG874grE
v//hqRnMOmBEXlGMcZFy7rvR/TA1LgnKannSYfjU9t21QUiDe4R+tK17Ezp2Z8qZccdTdCMKvR0j
5a5w1/4iiLufG4pvG5/4uWvwpqsGVxOqQr7QWumddrAGo7cE4a8JoUoUrx0EZfNBk+WtY3DuYiyN
tJK7zh+dpCjoFeaRG6MArsDqjdJFgoUta8tzqm874+7Lnj62K9ZKTR5I3nmJXqMe587wLc/bE5Dw
k4c3l1rpMo5M0ZPDVpKIUnbQ0YCA9wEu6sqILxNbv/RDd18Ymh9y5SAmSDAlYYFDfc340EakTntM
LDD8dBr54BhsKBqe1/172SssFS3gD/Tw9Os+74qae9Q8LsI+V97w0nebfFaNL1Bv3APxLElBEBbn
1ZRTKtEZgeImxN903i1cIabXm/KhYT7gqlFDSCJfbDW7OEaXqOyARh3FFYCzlqECx3ue2J01p1W8
WnmmhX/XlKhGCNgz5JIniYQZI82wZ42+9loNDlgRc0Az0AfBQo9+gfgWjTS4takjDqikUzxEqwgs
Jwkkn9IUma+LadX9FHuQeBSWX7lk60IemoCdC428Dqykl3DYeNJuOHXD9cQWhIxhkOYhNHo4icg6
x3LvdT3srl6+kGXdK9WXl8bB8r86/VW8hM5uWsYKBUAzpEycHuHHRfi2BCoR2vwUxJGDXOVGn5JP
EnUZfQ8Imv6INkzVNjjCIEJdB+FLuUGs/SAB1gwdUnzkE3I1+J5DeKGHPBoyKUUC1c+cxLDGN8Tv
9Y27OuA9zECPU1hcq0+adqTLsl9nhA6LNuoybB7lLu7yXR2QK68NjliNTkzg0oFkDV3VWVOnp/6z
DFusEFOXc2qcQ9HRa0rNphG5H/4CgGSBELpA/luK+bC4TlpHYepVLt46/kbjE51Ws/o2y6rhoBX3
nlt6kDAA1jU5ey3mekKaYygz2xVZB++coxBpxyYHoZOQnXN82O374J4IFfeVCA+OYz34euGN384i
kWNNkkq5T/j4sYsT9dHO5QnVWOGu7ea73rB9idqJFPxos2tmt0qW3m1TCWgfmJJ9bUAFgb55COiS
MhU81XF3uyAGw9laHS1lu16q2wn3CUfMbgd59hG2/TcsrrdDbJtEFbgEJOvuEbPfYYEje8RxsWUT
1OEVntwwpkPDBo/HZX0TxjAZK1GMGbKjS9bPkMKx7qu0YGsBwNRk9aygdjIKtE57b6vxIFJZuw9l
icU5YtcYcl/7HkVpoQoTXTsZkXMS2OgLtpbdZL176Jpn3LmH0NvEKls8tZCZYd6qK0uw1VbAf8QA
pVe/BC15tQIFO0ETvhhvvtIzAtpWxg5ESeRO4yB/xhGmSYijjqs89bS/mvN81yIVn44yuisCHKyY
w57Gdrpa54K7jXxXNDh1FTL5xl8u0xyNB7SiDFkzs6uaRE3CaiyETrF3oRKkXUAPlfYu1l0ROPZ9
uPBrnzD4+6Wt61tfuGuaIyy61Rt56VTQlU9jDBcAUQoe1A20AlQ5ZtHaHwz1kDt2y/fQYoaJ5vE2
bA10MbQm7vPYmEvdgbPofHtWMH6xKIl9pYSzj2tbYuZE6B/OnopW+sgG58RkWO9ZoY8xpq2Wq9YH
mLlOMZP8n+PY53GMQoT66+PY78/W+rOytr3y54EMvHgQERL4m3LlfR54fuGhIPSj8/T37MvPAxma
cjH9IJz3b4P4F2Vte1g3nkqA+Q2NGORv8lAI4fzhQIafFOE4hn2H+dBZtj/lv5Q14WiWR1F708xS
78jCIO54ykvV3LzI3o8yrwTUgZbAKlFVqCBkD8cuID8m7WJjrGt7siibAzhdlengjodc51mAzyPF
Ao75sBkBvIL8LcPy3QoMpgSpDjA5NeT6YWqysA4i7rRLfFt09VPQY0ToLIR1hLsvC+p98nzQiStf
ROk/1rVsbiDAO9s+YRHoCEEzzwSxelW8CJpXqAOL76IKU/U8eh9YzsZd7jn2seniA3i1c9nOy86d
YUSZ+b4j9mbWrToqp7ueMF7mYBkD15TJFMyXOuwfChP0sKY1oFW40/ng7ys3LhKRm2+LJJD783zK
QozW6CsT+1x2D0ht7IqZBhzSPbSaXh4nFX4lBF2LKFC4nvIOCZ41R1FPB4Vurg+FliSdqxGNfX2V
xsF6L0AgHwKH4KMZ5XRWckVeJ8iv41aeUHkBKFOpbB2c72WpYi67LuS5lnu74ojXCTCqzoTaBFLA
5h9XVJKp6NbPG7QADAR1SGXLh8G/L9vwXpvvXqR/hPhxI9x+/Ci0jxTEvBUj6u+MwGpCwwE+hr/N
NLBKfOah3WBC7Z+iMsFueYh0fI+qE8x7Nbnq5nJGkyhpMxlokwLo8/Yr+hfpijW5muI0coKntlni
UzeVhyocZMo6ce1uiE8kKlStqbPRwy3K+9JBgT23zU7PsLdIIF9iaui+AaOWiK2MI1YIPsvwaumW
V0/XO9ogy22X9lj70/1k0P1GVvuB34zSKl/BE+vITaNrwLlkuS3nyOeiKq7i0RGXye/fSS9Cjs4r
7yg3FK5w6jDrkLIKsqWBPeKuu2BD5/pyaq/zyQlP7QbWwWiCohl+8nZ+2zk8YNF3UEf2NCGDFYkQ
NQzzYfDFbgl8m/qi/xJTWyC5BZeoavErDDbKsUIcE+0rY4CPOMKa7tTF+uS3GtKIt1ioweFD1LEz
Gt8+VNFVKamCeyWK/MxQ6bXWqA4ubIrWzSarGHaXxhTfy7WNj4MOv8/hhqVHK2aHKTYQ9czdgBYW
3IhXAnxaGva2xVmiT0CpOxu5jAJeHI5EHo0cAQC8Yp40b2y+7EoifqhW3CqwGimtUTo8FaNO2Ei9
VKzq3HmNm60u6w454lUOASctmpMtPZNK4X0pW8TNQHwMlwJdJ1e+7YMPYP3Vo3ZhjKopQuUeUQVC
Cv/sTp+700bP/vXuhKLut+mjfzN/3py2F/5ncwK/sVWtI57tQ/iiv9o+LgilAObNJ3QbbHHJn5tT
9C+UQSDKxCAHYlsL8T/9rhZGW+4IVhCqcrcw+N8CODZJ8he1cNuc/C0xhd/kolUV9s8fN6cmBw6K
awMnAVflhxZ3R5FDPegxA43htCR29MwFa73e+y7KRWLMTE1JkWdp6vd+G6eMYw6wSIMs9jE75Zb5
6K4ougRJGvBGmMLTYhvOwo7hmrVzfdvl8UuxjXBwIPxkxlSHRsZLjykPix3yMZj7uqV9ERCmkrWL
rtZtNAx1NR1GNZzyGgN8hflxxQkIG0p4xTz6lG9T5oBxMwYcnDa9BDjSv6EIoUHxXf481UHLLQqS
UQn6uVSuVwzz7LwNtjhzvcaYdNkMLBaTrw3VoxPUV0Nk2wQlgU9NL5AMICh7FfYcrvS+wRRNcueL
h6k6x7kIjEqYGMzbbahfMXRc+/+XvfPYbhtbu+2r/C+AGhsZ6BKMIiWKylIHQ7Zl5AxshKe/c9un
qmzXqXNH9avhli0rkfjSWnPFRbqK7WknJ+7HvCje+5zLb6nads1lDlONPE75nArOLmEOm3njeeXA
qCXRFzIDtOPEvSBCfKvGA0QHN2POlTpaRn3HzWibMktMmWSuzPQy0IyFNtj5bDB3ZMO8HdUgQkm6
nZhM5rg4JIAjuaR1t87gPsZNGAGHml+cBI9pMrL1QtxD71HSnZgJj6TScPGnLZd2Kt0tYtOriYEp
XmgovN54dOJWB5RohIFT+edUusZNzsA1edF9c2PFBwcBiwDy48xcDYnZ3CYuTzhgVJukX1KYRL3c
tYP3EjscRoYGpBHLuR0GYfYlRfU5cx12s2qsNhp9mzMkzgL3Wz/vEwohTtn0U9uaH2DMPrDPsa9g
0IzAJU5q8pyFLDYp1fPJtDPIsLPHvZJRtWJkZa15yBlh7SHetl6E+gE87WZWc64ROfPO+2YoLe2h
34xSuyT1+MVfsrENbAF2QCAlWRpGLhdxiaWxbGl4qvqOkjAYIfIkz/XWluXtDaVQqdrpHXDqA3ew
NZetjVCIA166vI58tt/SDGKldUEJ2zDlRdMmcwfWUcAB8d2gjulz1lSmnd/5EgC8ESIUR0pT+s4p
lJ3O/hiVTR6lvC9c7lkeqqitqdQ4NMhiqymFjoDAeJwR7YSId0yl4umR83hK16Ng34e643uJQY+w
BkSUYSEjicRyrireKanSCJlxfRsiGooLIda10hE5CIpyinePwKirLixJ6lWL9sjzivAwOdXNpCTj
En2Sb1RfrC5HIINyqbCKeuNmXbbWJi1bU6UQhtlK1tXY0TpetB36k3R5M5Qiqj2l6aFDJZVUDZNY
yMtAFuH7rKRUxtxch0pcVaKyQry9L+nB0NLHT1qUfWQDbxmjpDeu0Wh1Pm5yJdry4XmDkcwfwGp/
9ZWyK5p43ZlK7FWV0caCpER3jJKE1rE8acZkX+vIxLSkaG4mSc0EJJ1uXH8J15PSlQ1hWAVRi9Ys
HuW1bDNvhZsqxRmW3Mctr2bbipBH52nMQZXfOPBaEPDzcqlC1lb6YtLqF3IJagRvJldN7Hi8seKl
AR2mdHGQGEJ2Qn26rpre2nODxUMZX2Wwnrk1NpfCMo85QjsRiodQ6Th0Q16FStkBhWpKWEC0bcpF
XW9fMt/u4Ap1pZMG3ZBycpEpTjJpFgYSpbAE5JF0nIKj2Dr92xN86wlMKvHf9wT3759bGDBlX/21
KVAf+UdToJSbgBdANrg29fdnUadHxULT/P1vfmoK8DyT62GAm0YQ+qMWxKPJ8MBTMuai5uXq90+a
AmLtf20KXBcqhAJKCMsCsaSahh9OiDDzym6pJqa33BOBNST11pRxulH4uMKd+m2nZaiQJtuSr2yk
j7XSFjjCc9VjHswAnO51qDQIkRIjePAeirl0oQ4kwKb75d1W2gUI5XgTm27jpiCP6zy8Z+3tXJeS
KjlL2GQ1j/QbiFa4Z+KnPh43I7ujbeJ7V5hkr6xW/5pN89MYF1eulZ2bvKWOGXs/iVO1R4uVF7dm
lsOgssxmvp6E1QXwheOVZTsfqWs9jo72lkntY5RxQy89F1CtOZowxnxpipmrvdBueiGZj0Bcr8YM
QwPbnU9zbKlB0lHTHogFOTBnDXP1FBfVxXCiDWT5jKEF7mQz9BJy2W6IrqPk4NTmXdM518hePhZ2
3nN56+gQZM02u+HRvoW+91w0DE5G+Dku7QdpI2MR6dc5stQq0rgA5Z9X3rAInK7dY6WxMJyHHpdM
HudA6vNphf2hWbfOfF9Evb3u3dHad55IA5MN5AZOjLtaKpq3gtma+TP1N9zf8JojJsxi6gGBAbth
0NI7W2c/McGNX6Uz9iM9seXarjTzum0y1pXVyLzpgctkic2UO+Hx0CqxG6bugIA/Wbdmj6lZCc+G
bxq0ElN6dG10S/GcdjZ+nLxoan58PAYnE0CvnBJ0sbb3FfLmforlOe5ZhphF17vXfQgr+60FCf6F
I4qrrX1sPQja9HBrdzDTXEEb1i3wOiJjxuDBUfK6WIzk0Ru9J/bh054++i3D4g3uok7OI0zxtVYP
7daYvQe/HA9mYe/qNhx2OR6vfavrj9qAPXsQo7mZwqXcSTjbd5QxpMrsWs9d6a8bwc/SxHg6gSd6
4BXgBthXyfZo8ukWHjpM0mGsAVjKT50hnKObGdhs0vij1uMJuc0sqPv6jeZVYb8S6PcLzdYD1++H
fTuE7d5onfy+cZr8LCu3fMiMuV/X2DdxrSLz8/p13zsaeBXqVgTYbnLKDOOKhkzLHKpVX83nsYd7
odFgBgVymI2dGLA9oGJv5yR0rvpZvE9hHTQxosbZglMJtY91C3qSiBULDmxLO+CcGt+ydOTqSXni
WtOXu6muss+ZadP0E1GwokG/ykY2+mhn8KX1/mKt26UOV4hC2ws5B+Epjkzv2pMzTn3UQr7SDblK
QZQqLdGkVEW90hdpHkqjTscdlSn10b/16Fs9MuB3/X09uvmQ738FkoEC5KP+qEUMqMo+wPjHGRRh
4g9yFp0dKVoSKBcqHUqBLn4fUCERGQ4VjAQqBYHXfxhQff4/G0cMCiVUjtgS/gH62PwW0PMnso75
FOYZykefUCnGZ76Kn0tRSO0x7TCZz0l5a85uH0BzgOjd+4/TYowrMSPe8o3y5C35HS/kTzNa4MDl
wLYaY2gGc9JBX+99BOT+Gd5IhZjZ+eSDaM0H/2lZmkdsal+HIdo2GqiAxHdf85q20escLPAjtH2j
OFWjOQYylP4qW8ybUTRxkDtC6ZOzJydyFg6wTsHlvQkMA79bZdgvWe4+RfPyCTVCGYSZvx+b4TFL
+tvWt25IH9J3wgcumE2PFVqFm1D2VzxUOWNr3VH3Uhj7pdwWU8X3vKCcZ63m4Q/04i3azXCV2lyp
Yu15qJPA54puG/5NTojJAkV/XbqgEMISG+yCr4Jr77bxcm/NhXGlW/oXTpJnzAsOz41mvl/gFScy
NAO97pi2mUbt1ISW6dDbR6WWbnzNfi2WzNg4Y+hupkTkV7x7eQCOOrJq+AaTC93TG+U6JzBnTZjQ
yhtBpJv6cO/MSJGX1n7i3tRkQZS01r3vDso9C0UI8MDkdN3yqI/jwkoYXU+8toHBKZtHL9sbogRS
B3RZlFvrsFqKVSOTk+fITdbNO5FPwE2ks4EUBOEiijAMWjJwlxDdka0/Wi5Lz8LlbJ/aKAg6gr76
5Q3hXbxyOl44cTg8kuHxluQfbcg1yqLW2VaHXWE4Tq2b8rAu95UhtE2c1UCiXHnti6oIstk8Iox8
ni3nqqjZ5xY213s0lY9W0d1FhXWno5EZ6/GAL2uHZCfcJzbzm5aEexaHjA6NeeTiC99Bq93DrNFw
LIX3pMnWw3ylbUff2IlEMlXgRPDC8bD4dsZRn+HBisq1L6FwSEJykgSii3CX29IIt+bAyKOhMWzb
4WnJ8+fcNr5CsCvYJjQvwqtOZZg9zm78ytH+dooBok69t89KpOxtCY6rivfhlLpBbkEemfqrghSh
wEiXFwkbodSb935ONszcRz9NwAjUr06CVzg0R2RhouTS0OYPg9U+stCXbFzpJYSbHbMJcubCmbB3
XxvyP1bt4Fy3bMaX2NoJM+Qkrk07NJpBMQxvthfd0XJsXb08424/T7XweY8txin1WH40TnlaMpax
ZrTNyi9ZBipMchDuxnBXJaMSCVioKu35NnHstcd8RK4BCqje7V6WoZuC0DHeAa+UDPRZHwgwgnqO
npmdy4OzIOWfqpya3roPZRkdvUa8Ll58jZD+YgKy1QV3ab/xv4SF2Be+x8vIbQ5yKHgBhg95ukyb
MDU+7FT1alJ/4GX8wgKePU9Y3fSJc+l8k33C3G7Yid1WIdqKotPVItgABx2W9ip3Yp9hk1OQzSH8
ds78uwypFsaLujmEMhabAojgtnT8T1PYk+7V3IZ6OwQM6eG6G0UYFHPjb9rUPtZeZ92S4LDT5ipm
BSCb9L4u9c/hzKUBsg9IoOpkLtEnvdRBJw4zQBpf2/SZcRMDCUWDQGzGnHvlFsnaRwWABK5EnCEC
gQVd9I0PTRxGuuO7GDBsUNeh1Z4W3T32hn6VDOCE4/6ujaRkEWQenMW6mQbtWBV8lwn3lbpnqrUX
zVrP5NulcTFww7f+NSR8DzwQTGt/X/LJ5xq697+On+qj/ij5BPb6NOKEM5ILp6bFPz2Fxm/Y+JjU
CC2wvtFEfyj5lo7/lgBnyLHiJysCiEHVO7iMst8Mh/9IwQok4q/j5/dxFgErnhRP/f0P4+eE8J/s
m9A6Z0vtzgdQ5oX5CQRBH54NDONFATBLM/bcf2CdDPH9bEVIxihZbC4HnAghF3hgxNlm8HtrDVBc
7MXI8dSbTAhXsnpHiRNxDkrel6ab1oVJDiISEFSdEbE2YXqbNoSJRCEPr6JD6uYRaOLNyJcSn2kJ
hGBI5lfGU14r5CZueyXNAIZewprW3eRZ6s4lMcudkxctd9R1KRdiCKAhSlHQ3abVZcFKVDnVgR0c
74i8IqupR4LnE7GC/HF599P24jiNIN3CQOqUG7eG6PPrwVqqLSlGJVKEvCJArPlqhtH7kEIsLDR3
088f7I1tFIKodjQzWudFeT0Z1nNdRrjNWGgDTyA2juV+HWRMIiuzYte/eH4b6HI6mkuSbox2+Ri8
cDtU8qj74053QZrW1a4zu00LCAFCkoRGROVrpfnRg4fJRixTyHehnZ1K8DGLPbpQHENKN/2aBDHj
KdZMntf7AvjMVKUPOTCavi8vEC+OMZAaYlMI37GLi+RXOiiOjZiSttz1GgOL59RXul18onziPHTD
k5D+iSisEsdHWDpX3Evaiz7B0HpD1BIZm86sovKiLf1c7wqd0T0SmXiBouqj1ZTZZ8M2AS61I/k0
w2cMI1swI1Ewevx1MowfbGW7IGWlsSok18U5vrHK0NtwvJi3TR9/HTW6ktSbX5GAP/TLdNGl/kZg
IryH5TWR0AMcuzM3bmR9SYzpahTR/KbuiiuIukQUmtwklKDYFtjY7PZCTtDebT3tRMl9mBO+LdC3
eFIj7xxOKPQQf2ELs9dD3AMlyhx/0zuz2C/uVz2tLFKv+ifZE3lU1NwJcyK4ssg3d7aGGIc4nqlG
KNAyagVaFX+OsmYJeN4vW2/EKJvO0c7QutdkrFAhhk5QeiWi0ZmjqdstuAXBWerE+0yjFeKZ1G7n
UHtpUVmxytBhF6WPrCgiAswMF7coXj0SEQns2eduxranr65KFpCrmHi1ofFsMCDZ1y7uz3VhvcsO
aFaOTzCb0xvck8dagVG4KBzB4bsrdmAySLGttDE1lHZw3DUTOT99zP7U8PP3MvNeF/j7RW4fRBe9
mplZ0806XFhijxREw350tfh+wvor/PGlia3kUMf+YZmaI8fX+hhW3YtD/8okc685DkkQ3lnzu0ss
nI/aWm6KokV2xGtzcWjBa70c1ujF7iRSoYz0qWhIdm0a+5ts8kskF5Pz1snuEBvpcBd6ku1TmdPA
j0en77J/p9nvpU2lfv59abtX6Mj2r6VNfdQPpY0qpRumbRLa8w2U/YcWCCCERfHiBvu7Ae/PaZYJ
VocvoewSjhL8/HFuxUpPoioYXnz03y+x/2CcZXr+a2ljztZtA7g2SB7xixZIGiDEGs2fz7bjd1uh
5SW3FwEwNjMxJh/Z1U02c46taSBGyvp6xEks2E/ZHvWma7nwJ7GwT1M5NYAJEf4NtLFY/fFszWa3
NfTevwG2U+3ZndYXw8KH4JCMggEjsnddWr34C/AVzRafy4ZTEGljlyKBpwhnOmcrJlGxRO4ZxbgM
ykri/6qJbcYhjdzDA2k7oN6AE2FcMhO9nywYMAsYR2Si2ntCPSZU52F30LOh9CiRpQ3jMbsDn/Ex
Zs19xfhWF8raJhztkE7adBX5eR4svV+fxeC8AQO98xv+l1DPrkFfjWvLGNbdVObrcPTBZvOjMY18
BZD2IrLlqRjqRz9tjkncvQlWl2ld8MUuBNCUZJxaNqPVMNrXS+19IRoOTedMQB2AyCOI3SrgWNXQ
PvR02M609Vm6ZrHZrWyv2vJs2LhaA++tfknVecZVZMskLtoNmWOfloScQ0U9G736jqsy17bUbLzb
7hseTVOkNPAExIgI9qQNNdPTW2i21c6glvI0QttKu6D7W51au3hesrFdeSwnuw3cFt1h1/EELgck
mVaRUq5V4fYjqtOoavlAI6CKO/fHjVTlvps/QtfZGEattiPRO3G5Xwc3qsDo0Sr0qmnQVfvg0UeE
7ewgdKa1qNP6gmL73VNNB8GHURCrRoSEDXtV0ptIo39K6VUG1bQ4DsABDxG2ikZTbU1MfzPQ50yk
2Paq8ekLUv5UKyRVU+Sp9sjrUPQkWdSvUSCLvcuBeVOphgpdJUdw1WPRa2Xfmi66r3D0SElTDVlP
Z4bMP+JUVb27qmnrJi1BaRCiVe4raz32WUaepwW2SjV8QsdqM6kmEHLnvavawgVN1d6gU+zxggTg
zXGSTkRYJg3xtaZlHXNtvDg6ISWuGXKZL7wN2+RT4Rh72P10LZF/nkoUwblm2IEb6wcRgRhyMC0g
xmUvn+bTuZq0Q1v1LeaD7DNd2HNKn1rP421qDdNaj4oPHlI3rREVq3b0bjDoiA2gd3BcXSlBX3e3
Zm1+SS3sC0xcmHfmT2Pq34BauKd6pKwWltechciq0+xo69kpZqMI3XAfEl9TNUCdCCcitesjXWSz
B3+/W4bRVewj4BncX1d+lNxXcTTypk6AkdbZczlWz3obQ12Q1jtK2LfSgRet9xWoaA6UCIrNa4xZ
T2mrHfVIXnl+IejF7I0T11chBlSiieFwIz9cpb722jfzzk2rU9UW+Wp0VbGP3Jd+wbKfRaa/l7UL
7oaU1P2I7hFegm+djazyNFS9LPT/XfJ+Pzr+TyGSogauPghE+29Hx5+VSCxRMfTRzfLfKl/gD6XR
sQja5OaHUkkBkv+Y+pzf1B4Xu7j+e1zF70IkR9kgyaTg0IWmlWL7jxa9rlrk/rTo9Q1bZ7qkNFKM
bf+XRW83zLZNgqx2Ax4+xa91kAlMjDJ3SvZPfbXN3HmvdRaMsbi4MMDiokmobmNDBujcV2t2hoel
xalSpwNyDcfBITDO4bppvJFRqftEnvQToa9vtWiusVEcFnTD1KO83VgVpLvafIz8lnmh4ARCovZk
pCReNOZnByKsdB1CJ01x8YXGJdALbaSK7bOY3K9obKZtOtb3Be2wqxesXQlYXQ0aSxNsAi/WANY5
0WvQN5iHUsKlSdLTtiV+PALO292YkTNlhUDTuqG4ihd3TNZ2CFtuGe1UW5ND91bnUpsv6Sg9ucWR
P6KyrLqes1OTipqtrm5FayDQAEhGnxiLFs1ENxcbKKRu0MzmRtpw0DItvR3SuV/5ZR4UFZ6wQaRf
etf9CIkegaBGg272N7l8NEjbgikxkgju42Zhh3TvTjpWwsJ4S/NOIwKtNRDOMAd2DIlO2HVXjSg/
NUactmBr4kps7JkEvJVTWMalySKwGrFrr8c5exAx+1sldukmBDrsbF9KqyImy8XquUzViRPvHGiu
vyldFvZRfSjzCqRjtyvaeJv77hVYnxeXPURNyzQfKrwpiGnFAZo8hZzve8Oi22DXh6BF5OQO8vU8
gw5IrsDQog1RsmZPCZzx6hfn0BMPOc3OtoAfSMfiHq0iYczqxyZ5yjpcXrAWAXFu9BEhmjFfRIdY
WDjkrKV5xcGrFveRnC9hQ4zu0ppnxG1EiRt77rwXO3UPYb7sMjkg40AhKvsIPkhxJkJuZ0wGLg9B
OB0QhW6sV3FqE6depM+2W+EeifHqe0+FRmqA33b7aYge6nI5tWNy3xbDC/GIezLwmEPzuA6cBhn1
kpi7iRqzhZRobCd3PmF9Ekd+5QhHhvQjnVhltHxtGr3gxjSxi6IsWk2LuzMX+81oCccuBSMWDcYS
hXcFQSKH2e6jk6lZ9wzGn0oN70n30A66zq7Cv0Rxuq4BA5b1ctU6+pPw0xE1c7rrkha1FvaYyjSv
ky57K4YoIdHN2db9zI61qddxHSWYRoiEaObx3Q/1aiOKcb04CwcWDsDCeza4WFadhqZWpTLYn8xa
wCAL0/slis+jbj037ajsmU95I/SNMJjOyRcOkky7CYW/S4vyZkh6bwVW+pMMWWybgJp94nBXpsyP
ec4/w58/9kMPfbw4eNFwgptz5F8um2kyTQ4dNnXMG3Njqyf9jOeEGPe7WNDek0gTvaaJwdU6BRtu
i68LOsgska+dP7LDl5vZ40swvbfeK6+LwUJRzwmXq0iAOnzfRvXL7NKKGEpnMFrOyTOGO09v8jXw
B+yarfmSDO0B4GCQazJcVZ51MdPowD7vYpQAI+ZFXtsSrTMSw11Ytt7Bb+t9nJF46WXPqZGd6Fce
3bIWgN7EXR9ba6POr2OI4pkYiKO07tuE30VRy89WoW5jcK2lgeKjGA7RDOo6TeQ+N5pj4xt3vEiu
qgHNAtuuM4G3W9xikleVfAGesGabn29lJ26rfDyCoDxqpkD7BaDRmrGXt9a2b5FjLeN+BImBqO40
gZDr8+XSy4xIwaK5Ns32ONW8ZD267aLLH0mIf8uwdyMSO/St9dERShNXzkE34yfZJfe21z0QQpIj
CUcuZYMNkh5A0PqgFyAvF0ItiYI7zX0JvsTgHaaP13GVHZOlfJty897PmWaMmdanaoA1YHC1ZLIt
6/psF9Uxcb2v//Ym33oTpV36+5F9/ZH/3w0QkY+/Tu3qA/+Y2s3fbJ2HNvKD77lYP7QmFuENTMys
qf8TUfN7a2KBQRaCZTW4BYtUM5Ou5T+9iaX/ZnrCJYtGmW5cJu5/0puomfzHzoSlgW0DvMdG5DMa
/Eo07sMh7fKlNG5LAN8iS05uhDhFzt+3On+PGf621/7zE/GdsINQECDdJI8HgdcvWmyNNaUNDWG8
tW2Wbj2GfGtjL8NVkZAqXeHeXmkjAhi6obM/D6cmqx9dgwtQ3fVTMBbIQbNWz46ytf01VBIRmHNP
/bZxiIZj+wLLoQ4KL2Yvq8bZuMvvaz5hwHPhthIJWyy3JDSy4R3taRJKDhkDhADgZS6mgFBgyGF6
tyjl094kaXUbOnKLkq1fDwTcgBWY2Bpaz9jir8lMROmhmy88GKoAFfQ9Ksw7rZhuNM3mGgYyQIxJ
unI8/0Aq+s0YFhHNkv7IZo6yzeFobai9H/e9C+Hq29Eann2v/cCv+RYV82urtMjZ4LJUnpNbuw2P
DsHhW9elpPlhu+tiJR9q20eMV/vEs3C3x/GRvvdTOcbZVhZ4Ox05w8uspnqtDSptADXoVudErBeF
4uGkZ8sDdaOQy1ptrjn1vw2u/th2ERZIOLqYtu/cZtjBZ9ojP9ZWPTpfvlAT+2+Puyc27HsNMULA
ucxD2PPm98iAzWk9NDG4mcHKVrwg1qykUA516Y6e6Ks3I8gWjn2tyYGtZkmiBqHLge7ON8aIJGBm
dh5jnexVPb8l5T7dUsV3S2FdR1EYrXrd2vmSn208cuXWHDRbdeO/lYRWAAK7q8plXmP3f0oc1F8R
ief0e/l9Nw4H3c4koi3xWWBKX0Xj/JQnib2bzOVsTJDkujgF8rC0X5CFfTGoh0E26fsq9w+gJjHW
Yj4leuRSZN4aOYBzcs0FE2defl7S+iV2uzgonOqB1Xu6tho324+DuXPdMTBw7pAsQPY6LzE4D3h3
NvoUN++ASqJ2u3gaVdd2JrAGYqK4rmajjbq9NTblWrjjVvdG5c9tp6s8t0GrzXogFJvYMr+Mwj8k
tr6VC1rs1ZzV8imzTRV2MOpiWdmJ2qjjbFtnqXEwERPr5Ib0SmnuNe8ckO70TPsgvDNDU9ddKl6N
xFtICFddD0pvXFcjjBGtsDmXj/LktdxjNJhVNvZlwgpkQnRDNL46qdttpqhG/sd9tsOsxJZvFVvd
qU5Jb+q7/Tj2L0uIfnjC3S5TcZu21XXm8JY1y+yWNTabCu2w5LHFaB3HG4ATJMjI5IszUr3gjyDD
HPS7uHeIz+0/Mk5LAcdWVjj1y9hu4F0eYqs9Zr22nx33fUrF22LPWeDmc4fN7C237uXYEbsxXNUM
HblGS0nktLFF9R37FpzpxdyMUGIkAcetHnMiWWq5M920p9Ek+CWS1ltp6at+qsZ1qLUtWJCa3VB5
nqvxta1SXMqz9dT3wruutdRqHhRwKvKsNkRfoaKJfygwdBBzVJU/pqX/giRVT1HKhcLvqPWv0H+N
S++6DhD07My3I0KzlbULr6b76vpAN6q9l8/1JjvAl1yFR84fyGN25uF/f37K2A/V4j+f3nepO4Zp
2GDq+fsfjpfoCG2pOcNyK933Ojz4golregPIs/rnn8cQukDTKlAFi1/mZWQ/NrZuudzqySmeulWe
f/jRAbLv/+fz/Fz9vn8//DypgThh0WL9ogVuWDPaAzCBW8c+ts65BhwfW8//+3uxfl6L/+eT/PDN
/PJJhliIziA07FZuuycgmhu5F188AOMrxJy8xlZ3LFBXxdbYP95463x1I6+T7VO3CTeX9Gpc7dkp
n/o1/3BdbfmzefrfX5/Sx/3ll8rGntAp8E4+ROmff6n5sCzcEYV+S77STXhhJXatP0dXBu6JYFjP
q6tXfTcFN8123Nt2UBzZMV4A6WwJegu+fSn/chaVLfrvG0m15FonH9F/23Hxgb83krqjojFoCrmu
oFBQssTfd1y6+xsqQg8oF9CMn6LDTLpP/jnbrz/XX78vuQwFbYTZiDsOXcQ/XHLRtP70OuJL4j8z
TA+ZI8oG5S7/+XUEoCHmiN2b12AaCoKeMziuILodO1NN3lijOZSLy3HYErUxAVacl/uhCtdRXDKG
D6n7nsVlYPZNEInmDd6Urt8ixKNapBKZ0KqTpX8uqn65iswhTw5NPxsP2Ak1+6B3AjCh72v9uQjN
EEOJA0KX6K5Uv09ctFPHJVry7rMPboMYBRPw1oXt2E46Zf6Bgghoa5kMbI0sb0h3IvV0oCBeIu/Y
AfcHi+wa9MhLTGxYKOYBpZ2L9sptYnE0Bj88tk3DYbyk/9rEk98EbUOW6iDm5Gj3s3UKwwUHX+qH
/vvQlQihrCZEfelaLAiyMh5u6afUYePNzaLPqcMwz0xQBLVjf9R98eH4FYt5WTTWl7HnZA6Qwmii
8UD4hb3tM214GxFqrqQhsCeQV64DkhlTHIO996xriJF9RAywRxy578zSOICCjU8a6Wb7TG/dGxq9
6bDUdbOzbFkhfFh6PFglUA2vpm1pmTh9GV7zy6Wv7L2gG7tw7fXF0RsIYrPDFh+1bS+HzMLbkHC+
5lIew+toOAxERrYyZy8Nqg4GrFvikPL8D8+KtZ0nlz1JXGczTZwdQB0qWKeehmFLVq41vVgxGPkM
uCIXHXtX6T73LiaBHmkDSfETGrcYsbkPzXHd2q6N8qw2ziLKMrJAbPOudJzyIxVWe1U0SflMDnob
QGb6UuKzO/771Po+/lIp/v6ptcn/b121QN7/y/jLB/7x1PJ/Q0kNRt20vj2Zft7M6+pUjE0N5CDj
8Z+beXTWKLOZlw029zxX+Kvfn1rKPmxwVkWGzaL7H3qEsRb98tSCroHgC8UYm3keXPov1a+Jwglc
ggTyzqp2VJRn7Dlrjafmyk279lZbFAuaFv/FtrhB+gpx17tQ4LyCwMFOk+XVEhFUmC10lgLINGZA
d90ioQlq7vLbxSLbr0gW4CotGYS9NVSE5/jcTjvo1SkYaxha4GInL0Z54j76oK7phcuts4Avd8Fg
02FE+xYwNn6P53BEBSLT+r6t1KFLS/y9LqLPpUX7boqjVgw3lYh5ryjytmhTHXoA6+QaLHc+JrtZ
cborgN34SF9DnEa9U3fHWB3iZZRvI/JpgmEEnEOa3ycHBO2+VyzwdrLnrV9NH07lfAB7TNfk2XG9
bhAOT+ZLaVTlFbdbYHtgxg0ZX2LFHefL5IlbnDMWuJ4p3UAjK6d6mlDmsL/Xdxny0Z1NNCpLvG1U
EeMV4nlcbB55ub6ZVIxqldc7YDlfIA3cjU4W7eHJEuEi7WjDswH1eKKhktamsxuPJtAq4ykhtFWq
9FbL0Cvy+DwABPVIqCAhr7nEEOP0bwXYRq7tJPmAqjsvKhnWE/MTN+DRu506oKh1P6Evzmnk/VOs
1V+XIbY5G0gUuelgIXxTeIsln3ZFglO7SVL/UDdzfDEz4xEnC0zwmTO0gZJ2iTLzdRHuqi4oUMPD
4OTRDfIw/EWiaH3iBLN9bVebkUWmjkOV0cjDcYtVmQ168qQszGTqDd7K1LBNImBQdKR6wrHU88jU
qtsoDXGkdIidHPHgaoCJxxSS/sA6J3eurKHkRwwoOEyn59pOvrhmccJLw9VCb6BFtUgEXG14R+CN
UdUyXzkLvLEUQBUeubvZtyrO/eneEBigXbgc07BsNcMsYfnjtuGBjrCas0h2ckL3Wh/AhngzDq2l
/CrUDUEOnoNdZiaeLovsldTSz7qjvdgGMXnxdPf/2DuTJceNrOm+yv8CkAGBwLQlAc5kzuMGlpmV
iXme8fTfQeovdbXU3Wbay6w3ailrIIngjevux9OwPU29ck8u/rVlyGe1gSsaO2011hc81A9jHh+n
Af218sVjkGEvC2v/3h9x48a8QqUI5AbEBeVztnPJBSxPa3jABDOv0gCReVRYBFiR+t5I53ao40tQ
Eo3ynWBlW/2yZr/VJ/4umR+BydL2dNuvpW0fAgwBnTkcS8V4D6b2cVmyBLlB9aZxFUbzTq+zVamC
jMes/2x0tr2NA0qrkgjDIMcc6YJKgYA10Q/ojz0KW1Q/10120J3+nOh8A6vzY5fTZdkrpBMqfdgz
kERrPrC0eirpLdWX76We0ZOXpGgfpr0Vbax7lNnZHh6BxoNhnW0KBzuiJEKPNSTe51a5HhsY9YJu
z+XE5ZRCd0hkf1107E0EWvumQ84JVOj8Gv48lZeAM+lGn8xz3DkfaKGLN858EKY867IiWddR1cjs
Bd94OeLqcKaUWb0TTr5JLZKIomyAgtGz6mhGustIfmtpS5I/a00iBuNTNwd3mirfrQyLZCDsc9KH
kG4CRdmwdbwl8gmuJ0i09SSsdxFZiaflKZXOZulNOhSWLBLgXO1pk1AHWLezfxdXpCmiWrvPox5/
EI7UjzJUcAX1vUeV++0QRU8DGbuarB1ooC9Ut8FrgRvQs6nSe7ok86JmSemx7cuesu/s3iwC4HZm
X3iAzI+GXd87C3S+XvDz81y8QmR0vFL2+qqFUU9UZlxZffNutkq1nrv6WkbpJYRrT5bndYRzry3A
e3iVh3QWXkLdjNe1xg18+3PnKPgsFlx+DBjGhp+vKqCq6wWpj/NCZf/Q3evQ9iMfPjn0/bjHu5+Q
VeJPMz87C6G/mh4zY7gph/iazwMvAiz/DKY/RFyVggsaW3sV/4pFqgAl4i6nCUAzm4NKM4BUx4dc
oIdK49okxlo6Mgcaw1O9lApYqckyaSkagPIlaMSkfCBXcTtwxsJZLHc5/QT1UlRg0VhAfAVbxVJi
YCx1BnQaUGxQxvt5qTpQEsbT7/KDpQaBVl+xp4szArxDSUKhU5eQqDU+5qVCIRhZbi6lCv9MZb9P
ZUwo/30q21Dgmf+nkYyf+mMks3/TTeAoqAjY2rn8/esiSSOPgymUqQtbIDb5X2j9XDFtAxe89i06
fE9rP0cy47eF5kL1jvX/vRR/R5GAJ/3nkcwRJCip/rE0brVkyP/9Iplk3AvG1rcuWIQPQVv1+bkd
xGSuSVWWZeFyVZu39tA06yzMAowPTkjnfeHkVLy2cfgy6s1dFlaTGzY5vNa228I5d9kesk9Vc4Hm
mkJbduJ3HfoFD6oBjlhB9c5n44ItpGW7q7wUQ3ZL5/TT0BVactNS+nxHH/DOGchQWz7VozzJAZnv
S0IYnP67vqLfWAleQLeG174fRuZ1mE7WtZHbrIglNnJ9ZQJ5KTBAZGp+b1qKvvE5pwavGTW/vaqU
JoweO76Ie5pmhqdEOCEN20mxI/QdT3wF1+chloehM26NAFajb+WP6rxEk6iNLcLyQyzUGDPsQPDP
0bomPkRlw3uYx/OqVuTF7AQgmPGxo7ZwrTMQKsBwlYwjIFhgKbIsNdeeBhAOOUhBTYZPsDlsttsJ
+ArjDq34Ko5LHPhK9EM41j3C76cq48hrMl4Uw25vLD3huw93JrjegVLYoExeJz3ge3KIdurMZrla
BIIste+rVBObIid3lOstrotY7EjnrHLosW42RHs9BLBrZMTA8hp6WkNCCZRclXJwTAe9FDe+6LL1
rIegZKTYFQnrcWEnMJKnUewxaCBtdOoPtQAc1jXQh33Dx5uB1SJ33oKwOJLvOTY64YDIpj5Ynx28
dRhDHcJBo6/8MJx5k6rjvvRhdtWkJykQd8sa2GiWLyB9v/xqC/bJRMUIJyvZxxA6Izz//JmPdIuL
u7d2mFOBn+bGjdSqBUZNVgrXC3MjGCwH8Qfw2ioINajKOGI7vlFX6lgbayrBmzWfNzc0iucuFsCW
g/bQ8g62TbchSBhtRwP+kKlWJBBzuc/66WqsjCetaS9OG93HbYFVVG0esyC8DZfYZKl2Wy1YjKkm
sL0+rG8ny7+nAflmrjoeEUJvLvkr7BhRNEEE8K877IgTeEjKIJSPulJCV5Vlsp0MvqRmzUnXQ0fx
Q2A0lEOo9H3KaT6QpbqKp2LaFDbY6rLL9XXW0+ZYyeEEy+dHmkYEqGBn1010NuOSzgjVOk4FiHYV
r+xqIqGi8QC4Uovx75XDZnLaK6eWz70Sqmse9Z7Ifmauw07/yiYWEzTP3XZzuW47i2RGRTmcNc4r
mReQQBLMPsOc7xTJp9NfRromjT7TScx8OVrPxmDcCZSXfV8QGExrseeaqLu6bZ/CXoE2I5G21EzK
zVDFV1FguqaS3GYpLPGQz/YQWqRw48SLMudaBHm1MVPuE2Qj0dNq8MtVbt4P2gLcrtUvX8hXVU8/
8Jrtq0Hnex6EAQWk4lM2yiNtmc46y7LHbGiFJ5zubppasPVm9lJM8mhAoid4SHIBO7QlRxOzhF1a
+L7UCcBw9U7Kl6Yoo+Ipt0rSp9XZVAgnzgm3q35+r3XxUrE73DkqAYjSsa7nrs9Z4YRAfWoa0E1i
GysnnIjQYXBWrfYuzFsqkks1BWZbTKvOwnpCt/0rXNY7Ol/t9RDaMIY6f3DrDuErLkus05F66eEM
eWhRn/08OS404XMci97t/cLaJUmOr02RWDc7UnYZ8TncIcMHgmC21hqp71R/MC7RaEB4bKoRoVaE
ri6q2yFngJls6FIa0Lokykfep4h2KX1yIyOe3CkOyzNc7P2U+a9ZPpJ7UlijsRUNVqPOp7Ws4w+T
5sAVrtzZM3J/E0h92pk53o2ilJsEFJUbWma6sW0ufpyH8xbi8mttG5u8ViipJofJyH4DGNGk6IoK
0olY4grh09mMSk72hqa4GxNT9caqtH0V6Cd6VeBnZbG95Z5MAxr4zLXfT9Mh7LofCcVfm7Bs9YMA
rbo2SkBFyRjkuzCndnUeMt6bYVI25EaLlcJwvwpoFF0ZbQ/SgfSRptmEXYz+GKTOwXfmoxLNGV5s
7jd+Mt/U2bJXte5sfEmnueGmR1nqojlP12UX3ucCuRROf7opdeawLlRq4Arth1lh2MpMaW9Hm2Xb
pLHApfAKG14aXrcRLgF/Vt2kiPptWc5HQmsnKtNcgjfXPVUpnh5XKvktrtuRVV8cI/6wQamljc9C
wiLbbdJ+gOvYoJ/KnjzfDBDLZrD4qjo8YnJ7KxIFQmB0l9CPtlbRhjzooeaqluVnSiYoyFTsNrok
0RZJfslIAD1P1Zcy4vbVd9HFdzowX5rau0NVw4P2k2Nuk5CLxzh4rMKUmjP/xeQytRI8ulaafdVZ
+2LowBfD9lJ+a7ht9uGTOfc0B0HVydJHLMM4FCIUWqEoN7Naqq6SRmeNahpcickxrZlEJN+phtJz
gGna50jXpdX5JxvsCnnn6UCUi1R5AlfYyJ+yifh3TrzBnDJ2pLFc84YeqkY74j7/oZT21zByfTTZ
oOSVAsA6/sSysGm6ot02Vuk1Jf92KJRHNVZPc3DMYu4qnQX1KllqXd/DhsO3V1QKMa19F8HvMihC
WDdmfZibgZtbwtuTcVOPWf2MM59nCItci4X81NUC55Bh3UVxwH/MAd5n8JLrFJqkWrCP4bHbMrm9
MoHto7HYVEw6KO3mYTbIjxPZvzIrKgqc4UnT+cXLEV+/Hx8TtlZbPWs/JHy8ALLjuoRApdINsQwx
ms4XHqv5rRFicZ1s/YIe/lAPA9fRRiWwX1bXZeScMIHj/TCr204h32bFhoaXIdtSTc+9VMSeqQ0w
ZfWSkEGWBZvI59HJZ2wJwPvush76jLBzQo3Mnfj9I5qESAznst5bengYpvgrhBW6CQb7atLibTFv
G4eSQntbT7mrjSdbSe7DtMeoImW2RqfZUqkL1QBDImn0d90eNuYQvNtmdCLaQSbNJ+3flNUb3XkQ
1sUQG3wR9/WRx+c+mFircX971EpqlPHz2k3t2Ts9SHeiIH3SJq5v6+VNbtZLC0AemWDDpKEpT2Ff
FOoaH31TH3AqLIbZ6Ns9C1wVJ+3Eu5OrRqS4cjHaBt+eW8jyIBjYAoyLIZc753Z26Aqu8eoqQF3d
fLHvRrJwZZZ0rt8Xz76tzV5u9yRxpkDzUvy/ep3f4eYjManLrwqHMN0CxorcNn/TqN1AudiHlnwr
8/F6jBwScdZChI1auAIWT0iSSDqhBkqIMd0CbllKVBKVLza2/Sbv3/LeMZt3AFoCJzxVtUaNAFXi
Y2td+paihs46Lf1eIErjN82ZXPz2J22emG6K8p3vlokw6VLkYj80USQPLY0Hs9/n2zlW4RBSaSz7
7prIfciQR3aQq8SKuWZwTT//UQ8ZKJ2QYBI5xw0G15Os0luR9F7eAlXENzfsOHdPzoC5YzL4sjOa
Ztf1PNGx4DekA3KNANLgxcNs0sywsst4WwqmXUdLXpMqojXmKinp3TLwWI/63qiBTDl2f1EoYGJF
iXJlxD/KCbxSoIGmnKJLEagXAyRwmvcXKa5MVnXKDAKpVoJDrxZPyRDs2zB6aa32oXQKzA3Qk+x6
O5rWHV6ONXPvZarEa1RqO6dROBmzYD9P1ryPu/SVP+BDuFztLWZBL2zL6Mip8Cqzon/KZporiio+
QlMoXDj7BU1S83noJ9CApvZc9hB24uSGEt+3pLTBXTaIRpPzkhrFKdLDp2xgB/rPhf77Qq9jGPjv
F/prgPZvzV81luWnfl7olx5dx9FJP2hghsjw/HKhp0Oa7jv8h4KosEod9B8WQ5VivqUSTwJjA6+2
hBJ+Xugh4DgA0mjm+5mM+BvBQN36dwcE+jOxDLEw4ZaWa9qpl3//i21E0vtG8fOkXRkp6aZd1Pd0
wdpVcqaqaS3n5oYY8JNPVIslZbod+I5QiL0BBfdXRhFsHR/aYgROpm7L0NML8uMEVR2pHjs/gKc/
cklp3Lnbcbt6gap98AOa6oIrjVK0cxE1NpllplFLY5BJGpBchF5/QHShrqEDPyJ9+4XOaorlWbFv
5NC+zAWZHlAcrm7017BAdI/GE2LyCCxzz2xPgPcMy85kqEkfcwXDf1arn1HZfA2z+GErJXpyl4Tr
Wox3mT2ynR7lC9PcUz1LE1M6Bnvw7TSRsrM2p+moyOTW1CaO5zybgSrGLsEU/kO/+TJ85IZ+bj7q
XoOGyAkZiyha+T556CysgVQV+oeaPEMGCRtzuSjTiDfUOzN2QjYEbe1yFZ8karw6ZiQVdB3WFtXX
dJHorfOmRdLvvWisYYnnPSfjmCc7JpalRYUpo6X2zVOp62FCc0avEXa6gWiCy0j0tbY2I9T8KRja
Gw5zjb9YWt/0hR5v6UOoWCWnvFQN5r2mJo4ZVjFlHjkVJ1llPhczPccQTAZP1pI2goLpsV1EFqpc
8eo7vrE1rWG6IaLDCriL6a8nb4hJmmVzuqBfKH85+4Yau+Q4mkMY9NZ2rNnj5rR7N25FOy9haZ0I
dNJ9Caewt2wegNYlqHkoEO99y9sHb3+pAAGlpFW41CLOyB2bsU9HKWjvqQa4bSUfVbBGe+oXmzUR
sfTa1iHFa3AnSZ3AjXEoH9rKVEeQ6htja4fVZzZqzpbSFVrMayW9tuYCN42dQgym3+/NLhZr/BSp
O7IpvDYqk1ouGCt0rU1qV7Ms6Ck0pRO2yzmEG1axjQHqu7WV+jiApzsGQ1dvnXBRmVRb35atSdMT
3RBE74yvSFpyJafwS1OkvuWKqLBWmDMCpA5yfm3b8l3NmGxREMLVQDaFdX1Neo39tufjH+QbDe6A
G+dd+s4zFxzqWKi7YaYgzQtjm2+YUbeJlPZGHX9RFTbtqC8QNwVqErOS1Rxbrgj1UYfeVKvjPeW1
oBpUnKaU/SabIq0eJwUggTrDhqOGpvAaZHw2Hi9KUD2l+DhXPvYFL0Rd9fqsANKnWgsmPX7U8gJ4
RRO9Ts5MiB7H4GlCe2FxxSJ67m6inDyEYdIUX+Tga5zO/GRce+1UfzMENmECR/ka4nap+4hedCU+
pDJ9Hs2BiEijmGuSn8sh4px5KfZd4nwVPKfkXXFSZPY94951pYWHkqpTVlLFha3HhzCdpz5ViEPW
43U71/berutdMTd3MPseqtD0PbXFClN1tdfHE0BiYF9bnWX3Os5HYFJZfhz4oq7t8DZQa4M6X2KK
XapXR0Od+YaNUehysWOJfkgs/8rWh7MyIk9PgDJ5UqJ6lfNhAwSW5mw9nOidHur81UzaeBfoPTBD
2WGhrBx5MGnuQ1gpGgCR2bvTMIVkapd7pl5d09l8B6xq2MZsOA9B3vEoQ8vzkmmw+SPBZJpAKW7K
kTPJL4bgJsNQDsKpUW665eGZVd8Hn8Nv2pZG6MV+5GzVpoxu06AuXVuQouGE6YhoA6dVDHCapdTo
G4pRwOKl3UH1rWk7djSy+UhfLtUj0nPmmM1EbXw1UzC7iZz3ZH2uwDEdMz0+GbQfEHlRxVYfKLUi
kuFvEtlEG6JYsP99EIdcWIqdQMdmOwGIJEypMI0isRX6yFGPuLELM55aMQCNT3OqeMxw2UGVnFJq
BcNsgFt/Y9QYjMN+BOYca+YW3ZR0LOQDZKsW4HaWonxYQ/fPqPM7A0Gwyv9fo87bx2f911Fn+alf
Rx3sH3z94T79C12WGKeUOq4QAzsaU9CvDARTX4IUDp7tPzMQqBPBZYKxdhme/hbeh8fsz9oFPnx2
L4JRRwgDT8m/jzr9NPSyldZw1Y59smYB/FT0mOkXfTJ1gqtMq+IP7n85vmH9Xm9Z/fS64t/Z1vDF
jnODMCJX86J9BrRTqYsamlk8IVHtv9eLUjqmdHT0XX4rSfmwNi387YA7y14U1rC03js9ujP7+Slc
NFixqLGilOuxCHF7WSWbcxTbbNFudUTcORV3/F7u0BKJqgdqRMSi+MaY4Nb+bJ7bxHmQiyqcJ8GP
uLHP+JpvVDlehRjVCwtfSY+gLDC4bhj7WM4iNo8CcAmjKEn8RYnOFlRAsOio1VqvunivLor1wI2E
pr1s4yxqNuhAmxKRUvf0xN+ai+ZdLOq3X8r72sH6xvDW6brXsQ3gKxWlPMogJ2lsTtpFRYft/Wg4
P2hadJm4zg1KO+za505FBSlh3awILhDomsAXmj2IXGOcPrk/7XvN2lg6Vh5HDR8DLWP9TSMZkclq
JVH4A5T+WFhXQ4RJbnEAFPVjgSOg66YjyP6tkszuknBgc7Pv/ORGLFaCwDBvbV4hn0Am/cn1ZkjT
S437wMSFkIwzxGsyMvBxsCg4eBUyPAsx3gVRYmKg0UZuyk5rcFVbRy2278GdEzaY1ceojwmh44aY
cUWUuCNKXBLBYpdo8E1gkXkd8VGUenca8VW0EHdVfBbgbj9olgOiuFgw6jKAkbvYMgR0JQufhroY
NirpnHmbTgNOjgr2ui+/2G15/uLyGLB7QP6nj0UuafuYuRJDjYo1ZI65/Nd58arn5gs022mdT+Ob
7LjG8yFH5AmgtqJen7Q+pc5xfnJqnc0+XQuob4fOnHaF2f5gHcwuLtTvDQwsQRRh//Gra03FDqgl
/ehajsPQokyxqywemEnHXKE6yWPc8iLNMBxZ3MF0kJm4xcnkOWXGxnqx1TSLw4Z5JriIDstRA2tg
D/9ff8lIDRWLOScMoP3OrXwAxh7eTEPt7P1kaeuzmpHAnE9apRskcB8t9qZlMo3wARnx0Don9vrw
nfzQjyevzdh+PvTfyEeDui9gjAHD6V3u66w/lIDuOBkvzgIsVhT0YCKSjPm0XjsLVtKOmfVzZzuV
A8RJRFe3Her0EJXS8rLe1zz0hJeiN2IPkzY1XCEf6XygNC2ksy1CO13DcncD2xnvbL6fkQHDqzGc
fwiAmFEV2C6ex40KyYQEMeFthEYvp3HPTQBqppZ1GaVccfNfz0RSI8Cboc1SswXFabbtPgLNWaOs
pqA606jbsFSkhBaIZ1E2JUD39iCx7l5SbmaJNO94dbUts8alievrESSoAxq01qmpCPzhvTHlY1Ho
z5lKC5QAJxov3Y8VfatszaJHg94jWmUZlmxdIzPVs+fh5rJOwvSkYpbl/xXrMaKAqGqNl3LhmYpK
8Wo9+Zrm6qGMrceyis5pLd9Zv7A8ziwWJs7B7PDUyCqkZACq52pqA2WJ0bxjh7i1Qavy5rGiiecB
b4f1kPX9wBOit0ujHFV8NgUFC8qP3RbTO3S/ouVhmnj06Mq4NKHYN+S5GC7a2xgyYAchkJzB0e/a
U7KgA7l0t9TXYdnz+8yh5wAnU2fZJIUy1ms+/EFl6Q0tnCretJ3DQF+ql3zBFfYLuFBAMCSt/KZM
2Qnz8YMysbCkWAfJBOjhRLM8JR7DrmzQcNm+JK4VVB8UR5CLQz6jHS9/iGwKHcvyI5qtdh0INbsf
83qn5IJ0HbKLzyVtlVp0DHUJgS3f5tgY9lZW+q5vdnBU+HYo2w9HDAx8Wcpnrcm6AZ6jGtCmWqvL
pZVuldyTC/Kn+cZZi2+09T/Ln+/lj/o/J6Jt+pnnfx2Ilh/6YyDSKHQD+yQtB6Thty3jZypAiN9I
BEj+R8ZTYMD9dSBCzYRY9tNg+694qe4QL6Vdm/nFYVIiZ/R3zBya+edUgAHuH6MuvyZXS+a2xezx
y+4nnxrmgM52rkRWT2w/wdls62+Gna7QD+kZYdb4rxjW6hvY8RDvsgV+N0PBY4VxqnMnQStI3hNc
ZhNKEeSeYDNJia2o1FO457U+73PuRF7XOzd4FL5SeHughmy0EEEsX5AGjBCqq60alFs7R1wolZ0S
pe9GPerrBfASxMNNIpbIJusSxP6dpYqditcBYOqwjpwCtE48bYnRXgTyVyRU9JfQSDdY/HeUV3ML
U7T3OOPaBN1qX9vWM+c3wI7hg2X4GQJhytcpf7cXh69XADfJCsfnZz3ZboL1lWRAu+ASiupqxhlH
ig2Df6/tqrY49gmehKFVQcnpSg2y0cr3qs5o2OWK6jbF/IRd5GzPWoYY3bCqSGTtCfwgoRQk9EE/
14mOblMHlhcP2pudEJdrCERWkjlSK7qXbPRfuzhG8i2uxglbqwL0apM1osT8le8ZfpiPIoYojUCg
qw6yXxWZXWzLsNddjA/Zmt53En/TTWYkHIcU1cCJ+zFlUH5V8o+IDD7OWkJ0ekATsugG2sa1r1Yo
B63v9kM7nWK8YWhGqHI9bSNYbLoB6I4Wu5PEmjGaLWjc9DNT8uGZ9/PYGq9zZp5l1KzpPrlOq/ig
mv7d0MQtx2ESNy65uYqIg8g7NAwgTUsDQ1qENJQw0dJ8EhjWPm1suAVGH8IUsElRQmpyzoRJwoOV
FCAsWHzveV1K1ZNqVG5DthJ3fuJ3DjAybcT/WuAF6Y1JbsvakKmbdmOw1UDSYtrOa3GiGK97sgvT
3ilzoj7/cxx+H4ca96X/fkHcZ+VnHb2lfz0Rl5/7eSJq8je5pCMxnX6fepxIP09EIlQaQXyLw4hi
BFh6/zoR9d+IQlkErGgMYxnOPfCPbbj4jew+bjTJaQphz5Z/60T8rsT8VxKeiylVmYZgF2+Ihcm3
AIl+PRGtEJ7KqFTTedRLuo1oBSBVXlrE1r/Uec4NFeuW2hacPthjZsbkZCnngGBN3Y3JptgXiFY2
nlbqHHprWlGs+BGoKGyF47+Rkb9L/CQDscyqoppNeuINaDVE85tzYZpf1B7HbpJRPajly76k63TP
gmnitWzCSBlpxgmgdLZX8rStGMITOmZBmYfrOA64daga/iG0WIxEyRGfaO425TBtasMBhF2BqUnJ
n6+Ju2ONwsZ3kf10SAzQ5kXrH7MoTTaJ4iBxceDbK1uYIJcTsgWjY2H1WOA2lT4ma427qluNabQB
DU8cWiovKXUYpTnmByvs7jUzVF0/Q7BEGC0pPpmUSx2bH0POAF9xM92yqv2a4/gV4hA3Xtlr2R7G
u38qZTw9IPrDTqrDcwBNdd+F8WcbzOJF1CGGKCx6m95MKU1pUq6qPNHwSp3cOWLW1iDFq8pBlqN6
Mtg3biOiWyuwZeaptqwbm9qqO1K/+yGc7pWSfrRCsh0GUX5jmbg3iO/DR1Wl6YbFWOznBCFaqoyl
45QoJy3slkUnuMGXvgxwnql6wjZ10tptkCk0ia/mujbrq5D3rifbFp0nLarwuQWaj3Mq5ldyiH6R
gSvZa2O/4zSj0HpJySliCcyxZIZls6Toou9AHY3qKMQOL4J/5SAWI9ay9uw1JzkJfHMw3uY7yZ5/
dP85vX4/vRhu/sfpRTXKfzi5+Jk/Ti7jN5MqCjgZ0v6TMVeD1QnZjHylqlvav1HMLI47Rj/LtHTC
nAxZ/zq5DIDXpmXQVS6+A55/c5b7s45H7tzRlz8D7E+dtDCK4a8nlx6mJdw8q71kiRluiiKN3LHI
pD3fgA+Y8UJETsjeyJNhr4Z4vHvkHUNrhYbnm/6aYS2nSKfr06ad4YqsDbk9Kn8Gg823NppVR1Nt
GupbUB1YgFdSphHIWsWPe0ptfKfIX+fa7OS11XVOnbuWWvbyOBrGAP9eU6q4ebNmqv1mvPz0AeKR
GGtqS+HXhvU2bkrnHFZquA/GRe4YBvlQFZCibQzzVVckLBGSOHO1auiP0YSJETdtfrHSpLuFEjy8
q7lhlESawuCdLOG4SRs1O0VmUnjQNfxLrBhyQ7wlxPWpkWO0aSG+gVXl7/HtDOckt4aLFvetW+Mc
LQY8wThCRP1mR4wxaYthZB1iO9qHRtzei6HCYEJN0gfNH862D9PhxL6Z5fscbVN0nVt0mBQhBmtt
2qmjxPjFhGa0LX5NU50uNcmvTQLaZSNLDZ8DKzENMhRuYN6mdldRK07xUQnZhP2KeNXncr4O5zmm
pVB04p1NunHsqibYT4xTz7rR6GiPAvtX6QTubGfdVdclH7yk+b5yTO1Oa+jOWMcQbc6S/vQVmK/w
MgHEdoPJiC4GiLqt40Cji2fHvswVrT4Zihtm3W/cZjB94CtJT0QgmscuKzoq7uKccF0kgCdpKGdm
2CS4QVFHtLEybzTgxRvOvuZaj+jBwupRHHGL9cemSQ6YrmZIF4q9qaCkfg0yTHd2mQWHsYiAwUEu
U87UBKmkkhsILsXE2r9tOcKryc63ZYAdVZItW4EsZYsyC8c/pLViPhLeeCJbJ05Coe+aP76/UUBN
nenxXSBQtXo1zSG0DujT+yDCaESJVXyWTTndhmBO3b4ZKm+KutEL+tnfNAQAg39O1t+FA+1/UiKP
n/V/uCUvP/PHyWoxw5nQDUy8EL8fnz9nQswTyFXQ/8kumLppcR7/lA04Ph1bI8wOupFzdKFt/HRI
SE5WkhIqBesmSDTu1n/DIWHxJ/sFwYBBAtMGfCTu3CbMC9DJ/36wskkPVHDF7cVqLHJ/5MVIqIUi
dS2Ws1voX2/I6MOmWuQ1+P6xVA5ZY3eLqSES8UsksOJehX7RVXuuRWUG/SMeVI/8Wmddl7Kuh+t8
KC+lnkT3eOeIAIX6bBFCWrwXsHZe9dTgEM9Bppeqz3kdoMzCPM+XI17IOdy035/WykDH20tfyYij
aa2VNi9ZSNKrXI1knbDh6Z2JLrgRtMFrB9rd5+IumBluthHVA8JrId9sHT3gEm3h9xv71nTrYojZ
pWM5GBbZrU9MzRvGinaixKwfZ2qitV3iTObs6U03Be4kHKThtMMIyNTsK1zxZKngWy5RLLqJGhq3
FAXrSNMEFolzFmMgW4itVoZJe5foKdth6hTSq1GYodhWFv9Mp1/xPA+LJaQkkBbXqzEsrD0hBV31
/hl+voef5TL134cfGBft2/9bp2/1219noOVHfz6pgl4ubmEYXIyf97A/nlTBvxLss7hALbsuHsef
TyozkC1NncjS7x6oX7xM5m9423XBpkvVKVSkA+xvPKmIhX9+VO2FvwqdTDdApcg/E3gsLdDStDaK
K7oAWGQvVxZtmCagilQNiTHQuGckm1Sf9iCuBB2tefiSgfZkrbWxIQMWID8tntPYUFj3YBCQ+DvT
2CpO6cIJjaP6cQIcajvYjO1mohNRab1+Su7N2r+KVdJ3JGlJ7xaxdTMG9NzArlq2FKlt0sdL8EKF
MqVe5jDqoRHKns0FzRKJQVIwV9twHWkOyjtwWS0g6WEH3uwTQ3FUo9gRec0YtCi0QYtbTZwz7HYa
ww3HlmhLrz70GrhrNI9BtI3bwo9aWi9rgu3Gh8nfk0Udv27loOvhC0AmGiFYgX/6cOi19Ca/IKyY
hcmKRu09uRV/n5axyaZ+9Aq2WVu8x+nRMJTh5EdAMtiYU4JRxw9RxTylpC3FzEF8xZfqGss/GuLM
t67Z3ddRhXkjqR5MK7gqq2XO0YeTHBE+9MrvgN/SbpArabkepFqtnaVnMqm6cwkknMarIt3QfLss
cQ5GLh6zuL91cDAAlWPTPw/aztIrjGJJ9KPX9HOQz5dZAFHrLAkxPq6f0xbcKtxo0r/lqQvJbpeo
0Osg6SgfBlNRcBtfNQUoq5IMr5sKE1qTeZP4E8bpoRlcMQdeJTN7MyjFRyW4cgq1oQgKZ1SlbAum
zCyLrrS0O+r6XK8z2Ryrns+M3zXXVUQI0054adR+6jwJRr3JsXrHRN4q/WwZAOFa9pfrCgsnuI/c
TUqFagflOhmL5jyDaOHdiyiOsc1bYYqzU6aFV0/9CLpVQttOKMnQmTpByLWNFyfk2NPB95qguR+d
Mdz0cX4OpP86VT0+VcXecpk0XaNVH2UFw0WvLFdLWeRVHPR2FNxgMPo/9s5jOXJj7bav8sedQ5Hw
wOAO/iqgLIvedU8QZDeZ8EDCA09/F1pX/uhEaC5NFBK7mq6Q+Zm9177SpyJY5HQNMPt744zAg4eW
n2HrHKVKdOzO9lXXtzdJ1SrtrqrcfPmYpzw7uBiO/Kx+RsKlkMRR7CWLdSn7rD6lnf+lysR9Zzff
vXreNqpEEiR3EiVT3ZLZ3Gm7RhjnKo+vk6o6TWl7zd12OxBIHKg2Jh4z6sejE9mfi6OR4ZxCBdsn
feRCqyHi5sFwlotUDbdInow7UimnzWg6fF7GfzmcY3dpQxLI0EmZt439pUX1tCl6/6lk15un8twY
2CyKzmYyYJI7sNz2i3GIhmTEcNvfcdixfu8Cw8DsryX4FCMV3Zptd+XZIKkyrztXfXLv6u6W+NmH
hf0v0hikPTEbsY3RdDwoTIb3vtThmM2MTczM2ecykQeVY40wjNgLqXNXTxzvnLIGElDqeKuLpbj1
Ju3VtcrPqhHfC89AtFDlzwtIHlvPVvEQEmx7jS8RTeQiuq/fvV5DCJ3Fl2RiQTgLcVuQYcReS+k3
iHE+qCymUCzjR9+uHm5nukeBWB/NcviqV8WOaIbXOXEh9qud3xZku0w8L57VWkiA5Es5AZZg4LWr
vXmPbygQdXPrJ/lZQENeWoLvbEW75ZJLS/d1qMrZPzHnePL6CAAgWm3Ttx51YRt77HMIupReA0ZO
p1BpxmXiMbh1K//entvDlFssU/OBoUtuIJPAiwwhnoxrd+3SmIR3WWtt/US9xYpVbjfTDTh5HoKU
+JT+t6R279vOvM/4mXAPYD+UJY1E7t0WHYQ5jEIcYZmF42hVbCwjbJ4h3cdKuWwTcvxDnfY94a/z
PPaKti1PuS2vY+C22EST4WxpehnyC50PtjHdrzEReoEnEM8g6a0eU/IJf1rvNYTDo6aPNFa6hPch
wF2dhF9BORMJUzS4MQmWkNa002L1YCTIK4hp28rY6ck7XDUIsv2WwaPcaq25B6SzbAalmIuB7DCM
+qG3pysmh6RqmGrfl5z1WX09VnV+rPXxRnbTvZirEIrBvKP0PlfKP2i6Nj7Gy9zvxt74yPx+2rTM
xrByssReodX/1lM/D5OY4/x9PXVOStn+tZLSedEvlZTu/4TW06a30R3jLz2PqQOXRTHusJKDifNL
IeVQSPGPy9zIc370Nb+2POswiS7IJeHFdhmi/6Nhkkux9qeWh3E7FnTgY3Bsoe/8seXRI7MDXOna
1/FCkO8TZmcCvdCQFHoQk5oFX4d9VnJpvcx8rStnYn835ndCM7c+TsoCB9gEDKtzRYS5w3NaGMxV
swSzO8Au6e2WBqVtoxMHEjYiiq4lu6uwc9fYulE0fZ2oYbYM1K5np1SBtXrAObbw46r4HYEu2uDV
Kc62gLxuoREo2e/9MiUR08hmJNXtQ6xHr8w/sJxXIsVNl/+womek15NAjT8dfSzu1ADm/eRsqx5Y
88XSZucwI6JJrCQCQ5KPyEOh0kblUL+TR/lVDtRDnVNEJJaWu5bgaHb46UGl2gEdRweMq3wXZpMy
A4rMAO/TUyK1b8alLudLRW73ZLr8ePIFyVUePerKuyvA1fvzsE+XO71znsahfXGo+Sx8j/7l3wfx
x4No/NcH8VL9J9zC+ppfn0P3J/Ru2ClIf0CBuK7hf+loeEQdwHsC45YDlYaYiV8fROa9NCsCFMOv
s+BfZg/rwJfceigJ0Bh42T8Lp/D/MnxgtwX/mfueETKkwD89ie2C3r+3e+damkD4meeJuoXJHiuL
DFxGVRDHox4Hm0a/nGMbjtzqgsiq7cOetfgm7mxB/k6fiALfu+RzUIAiO7fCSOstYthBBmN2NIl8
IMR97FD8vmAe1+pgEdKiOslcza+PrdUgcEJW7kx3sACNjRtrldy5doM3fipfDNEnW0hhh678kSI0
4CtfecBUr2SlSq3dRb14TEvj0pTo4XlugmgW9+VMg6Lrq7goqs91VZxLFV3p4/Q8o1DeQPSNEN1g
IqyPJCRGuBnImkicNMG0xsQ1n1yS9Dz20xji5WaYWLi7PgI16CorZV3ribeqJ6pk+Jp1gG331JTz
d2PtmJJ+eO0mG3OBzFl9CTtALX/bUrHsRmeAkNOT6w58sNua7jIFGTL+QMwls8t1IO4JIxR2PwcI
ixT5fcN3zZrg5ZIl2K8gsSLSv08Elm8563YpOJ/EVgCZ9ZxAWXb3JDg99/bMJEiNV21PNzJAwA9x
izxoltgptzcwChOrygZ/EzGUPlpxhlnaqq5To7pXaiR7tT4nIArjibnw4LEMdJlfYguwUKsBAxqC
zhSbIc84+1ils7M6WVFBbATOCnzCuC27Kd0AD85ATbs4Dc3uQuaDvkPgmV6RgQSSQL70JXNgQtyT
PSimJCB64HZyKZYtv9siszsN/ZBulGheZDXzTszs8zzrD52cQibGSE5hNWdlei8JHUpsrMhugnXW
WZIwwoGxqS0tOjRZFG/F5N/S5Lqhp8yPKtfbg15zVttldW3rbPJis9iVZvbEYIImUG2qWt1oKKfQ
cGFZsVBRbteMqDQvnnFyB6u7oxfmF1H3ZFGl9n4Y84cps4+lVHDZopg4AS+2t3ObDrzRjfhc140e
mD5hUfE4vpSuYWLl6V6mCOuz1T5aLctT2WA7j/2btLW3Woq1we7eJ+yydHXjSM+ZsRXNyAH28Mma
Xf+AmT3bVKkOVGeWR9laFPwd/lhn+YLC7ysDcrKQCatA4ZaoMB0sfWuJ/mlIcETqOGiCyolPQMRO
wvXfyoXIDSGVsTUq/YFR6i5prEc0t3vNrG5HQbMyJeaDxRI98GJRwKzTgCFYl8SttS2jxd2U5C/4
T8p9qc9vhVymQzZLXJIgHQku9LellpWBWRCDDADtS1pCR4AKjvx+AsTuC/QwjGL3yHmbdbOyK0as
tZGRW6EHf2bj4FHN2/mGSJiPJqcjqRp1XbsuAs4oPjUFPgBHnz6gcN0TO+VuHDbqGNfxa7XL/DkO
LGDx+pQBcmRri1XFW9ny+j53xzUvjUTviNQah/XbJtO1ijcAYS1qrmwaoviQyenNibuSNXlZhpPj
X3o4C3hsPrJuMoOKZgLxzcwbqnN3iyY+m9E6U6wf5qUih4vgTidWGI0hlBDTchaNGnZ0XrDge+fe
Isf0KDsEyKxgmMwY6UXPihPrhD2mhzNRAHcpHPgiT49xpx6iWH12k98G5UgKRBXdOFr9WHurqHvG
VCti6Zx9zkXORkYuODRCt+pXd0f1UlZAx90RqSCm/I0NOT8cJcSbZBif/Ra1eF9pPNNlzV+eZJB0
OpPHcWKX1ItN4REx709Gsctm4DDjx9jMNE82CJgSTkUMr2JawRU6BAuMfkaIkfi5WeEWGGyeDcv+
iCXYizlzYYhAwhBthbLQYqsn2DrzZqhhZtQrPGMEXBPYK1BDX9EaqnBvBwz70gRqqEnwGzkcDhse
B99qgG79Bk68tbNXZIdc4R1L7l65XO5BDIyK5V6y7SNvOlor86OOoLb7y76BBlIwgIGGBSBEX1Eh
CKOezBUe4qwYkfHn9eG/VdLP7QpNxN+3K1dv2cd/6FZ4zS9VEmJFjKHoBzGksgAxGQn/UiUZJvZW
i7aD6IgV+cmHfmlXMKpSuFAl4WHlDFg7mV+qJO8nh9U36xRMsSb2rH9m7FiJo3/sV9ZOiUGyB8kb
s+OfUeHoVdgFqNK+yYZcnjVZqOhhmrJSHRwjyfYjvhRQANgElGcHUNjyo9VAwbF7zT5kEZEtxWwU
RF6iXifXyBO71e+0wZvLUwtjwbMxmo1Mf8mWK08amv2LixSevYrYOYWkh4cl5C8eIexDiyMCoBUe
0AX1XSxJVxzPKZGs2o9sViPt7zviWo2B3NZ8TXBt1yzXEaZBTrjrYtb70ZD3ak19FVhhg9YAWl8S
Cdst+rXf+h/wrQh59m4W5R05KB9AJO01ImU1SbZsGVVnRdhss6bOEqLMBFRuPeJoC8N+kok3bRA9
xWzTzZq9sPzCXvaIbD9MRfQFFMtbH5NyOw8q2mQdybdAr8AGWy5TW1JxmwYcAgOas1pHTlljoFbM
rxX4AUZP8qII120I2e3gS3b8oOGvVMQhjozRovpUrMm8AKIPQLKppBhurNm9PrOsMINf4Nbk+pru
fFoI+vWaVfNP8m/cpcd+zQJWayqwz1S2WnOC6zUxOCVrlF38F26xPRtnaMdms+zkjJVM1vG3dk0e
nnEEBtx3e1isp3xNJ2aIdl3W+HPHNbl4LcTqKLZCs/nE9SAOTkbKMSNMRFA2Q1FX/9TWJGTL92/U
mo28rCnJg6sevTU3WSNAGX7qXY7jxh8axpEwmtM1a9leDRbTmr9MzXjyCGR22dNzyYOi1glrtght
hhP2dRLLnfK0R4Q8X8YadExDzDMOOzBNYwbXsE2vC+LnspZM6MZa06GJiZ7WvGhNt9EE1XKXEiU9
x7iA0YTsXEKmZ5YzODOblaaZOO37QN9zhRIDjVKx6iA7iPt5MK7qSL5/mFk/JJORnSCfHNABu3gM
XOhZBadBQEtS+jBxeXG2/sQXbh6ckiDvyy7Z+RrtCXZfMjxptuPDPIibhYfhDqy0u880DxQicoUN
Df3JNFNzC2IErT+vWZJau0klVbo7iYroNLT9ja1M8mj1GVmnmUzHgtHhxlZVcvK8CST3YI8hqJdu
M8fQsMQw7EZ4MJ6QNyB8qg2H1MXsGS7jS7lD2SyDNk+vlUMnYegvCFrmh0bXsi+lzrzfUGASTdRT
etTUodfxhmwcM4OqQSNhQW+lbcCWgDyFYh8fb2EQHO6WBHjoYz9cc6ORrlGBIdbmS2bAPfJLA1dy
Q+GZQ+g1kva96bW9Dg1tM5jNkbRLk4rRO2ks0E40HV5QrUNNoCfNV4NN8saGVBf2cnA21jpOILcO
Ig47m51W58DUukV8U7rxmhZFxGiWPzs2o7cvF8bNWZZD4S6gUbZaKtjSqoo6Zf39Rk6xWazorKB+
5+N4jRki3Y4k+6R+cxePfNdCs3e6rM76bO6TgnjUyoeUkS4N4g7f206AQjgzen5DC6QmhB5A/OZd
URZ3sZ1YsJSpIECKnQkxI0+sFvvEzr6Iodn3WvuwZBgw2MhRb1PMlHp2afsGiTibpi0Qon1U1wen
bz+pHeLA5vIIIKzywGYs7y7eVDwWbZpf+fFwW/ITRbAH67OoGH9KPEKIcV4YEO1Gq4Y14H1MlcE8
vypOXTYi49CnvetYD/9WCD8qBJt7++8rBPZ0xHzOfy0S1pf9rkiwSD/RLQub4J9AF+ZPzu+Tsf9/
hbCmZWHrdF1I4z/L436rEPyf+P9okpji2Z5YDaP/YDPsCr6uP1YITHFwVLDd4198Kcx5fq+OIz4P
DZtqi9tSry1kQUbPGnFe5yJAnedVdDFNA6r43K2/scH7ulTU97DDHuhR2QW67zORd2Hdy0PDBlXV
hFZ1Hsdob7nXomMIoIFtoS1hlhFV/hDYco53Ru30sG0l4VNRth2GuNumUXXTzt13zYHGaPvjd+QR
VRjT7PY+enxoVucJdjUO0PSyopUaUdlBhSDkmqAdmvqIjyFD/a5VPO1N37wP0H2WIpv3wvDetUnf
xRhGOVTlwUULWLJF5HhYWR1q/DJ62lPezYjBMv3BtLtX6bGKwVfpcVCZzo1EW4cZDlcn6I0GMYt8
cwEk7FubxxinxB0W7ZsK+A7ZPMYDZqqVXJbcTQZyLWF/WF2xx5Tx1lrJ2TKI+mlAJ06eccYnyp/2
D4VoXnszOVZT74A1kq9V67z6oD5HNkmW+a31/W+N0d40S/JiV9O3zPKKwDDFwurcudX4YrkjxkMB
GWeTdhrBlyRo7Vj/PuBMv+5r7Xphq4zUDSzDbGB+t5VXHFO9hW2kA4YchXWr2SMixxV8Adfa3Ur6
vTR25B6ihrNTkqBC1QPqaacnp9VOFBgNVtDu5FVMOoRf3NSz5W+J8/aOTV0atIAjaQlpxci7Z8c+
5x6BWnETpIIwameIptDuDUGny0fd2Tg0cnyOPHeHZe/WEf2NqFBeapqv9g1ePFSHOGaz7GjYyAim
jmsOtRsjC9EcC42U7sbQoj0XfbQdCUAVrriO+VXwJ5v3VGvuncG+HaU4ytSdto6R7nE3PhWddfBX
V0S2OE8d0xNRyOeWyCZHGNo2W4xqw4CRiE4uiZ3XL6+w9WqI0Fg03fpF6yF25O34pPldjR4Av/OS
ayo0h+xh1ow5xE1MV6xXn0WrFSS21xdr9m8yizyvDtznxqvGq5540HDypurGHQvJs9J4xHUmpKXi
QoQBy4LebKa3LqrTQLT428yGUA8zS196fHN58mR2es47MHFDnrXAAha19SAr7UuspBuQKvVh0o1o
axI7yvzrYpVY44oUXAGmnTvI8HE4l2oJXKO4TtaB56wx+E/IftxOcjlGU/WWTSsdzxQPlnnS5s9M
EJGhyeYex2lozlPK4oPxFDEEZCN80oYgJXCtz2YRXyjKcUHm1zWeXYPVzMZutTh0QKhv5kLdx337
ltMMYCo/etVysnqQhw0yENZ/rHo91piNN38abfNVav15rLq7vNYuHT31DhV7sMCVhk2OilbAISFQ
14DLkIlNz7WIGaH7rNcpYU6JhRfUfUtU8xUJM9HdlZZtjGqiTRk9B+IWHQ1wbQ89i/XKqas2ztzQ
reTOt462b8OeKgk4kM+t1kxIBfp+Fy/DqYuo/I1G3jvx9JYmNnYdK0Pcodo8rCWb1daiyyqcAPQp
YM94euhsWC6MJcN8wguhsjWrtLQbHrqKR8Jz8IEmaVhN0XW1GqitPpq2riYfaJluqtp/8CPrYE4z
YKByzRWZcxiscF6lrnay8/LXZqQij8bhSqP1ZKG6Pth2+kIwVoeFfMx2HKsWdsr4fSorMEBWshvG
8sSBfj9b1XBQiFpoq3pKU/gx+HSDwYYSHwumt0NrUokRGRd55SmOHGubqfyqjYe7xMbHaaTMYxOz
pQtq9LCUOa8dhgcb4zWVcf+OlAS0fN0ASyqNGMy60mAoap+sAbkv4ibZYwG4Q4r+7pg82ypnzoW6
BF/7hA+KuWx5LTDpYstSr7rHqqkjBxD3KOZh0wCFwcSEASNntl2XYpcmotvhiHjHnPqC7dfajlG5
w0XLUJ1f+YbrrtmOJCZuOlqRne8b/EyHhI7PHA++tAoKaWRCZmVjfLWGp3gGGsaduO1WH3nCmo51
O11Grs283Tw3CxAt847Nh+Sq1pYR8Ed6mZk/osfBIC8FrZ6WOU92N+/XQbtd2bfETn9MLOUByaWv
joO/e2w03np9eaUjEiRze7lw/wNtx1wmdP3Y5XWDFN2AuOmJ6lXlaX5sMRHT4qsAFMiLNls3xOd8
H1W+86P0icteMApvoaQS6tgm8sZN1CNZrwdTY4DkAghBh40GaLbGQ8TE30VwuKkGa+RLIanQcN1v
0BK1oGhwWSA7X3Zz5d3rUaFCmiYLSuFUhqwhAJ/mfXQUzfzmaLwZungwdlnmYdqFCuRF2imR8o2C
OJAZXJ8prfeVqni9W99WGWg9gjFlSN/2rSYRedd3yRfca+4mVc6t6J3nynIoiPPpsEjzMxWjyxmr
g4jA+RJ6U4nt282hPjksNeC+8vZLdYz4yUwow6J/cdrhGtEXm9KaX2zD7iOIwTsHqTuPW0dL31iZ
XrKE3N4O6iSaI/YHAy5oq2v282L12960020vskOKcgDwMohn0SF4UAZEyCptGOD63vdYahN4MDIS
UVwJNqDDEFSgbisiVjhVnZfCk2DjZUQYmdIe6UufGp92tExoE8b8qm+BP8vew+/cVkCJrPihc1hd
RHlHpw/GqRD+k1X2tzLHMIPKZgwLkJqA7XiezKHbTZIOAenTUaNy4oFMxXY02vdaFivdgse+gYbc
spd1xLhFzP4xokrRaufTEdqjZnpcAgVClMzPPt1V4GLkxrdhbs4+NzkzIvtbC6wKYxN54lI/RaVZ
otQboHQ42YssinZL+oWx9XoGEFqxk9G78OQVhQHAIIvBtN6np9pudAjLaXptJKQBKybs6Ei+SPJQ
N8WYPuoNej8QEfdu4bPLZvxkweScVtyZEy9YteqqDFWHNRT9EVKlTPHtWIr0jrGxwqqyzp6qbj1v
Rn3kslfiuft0DEBMvGdofDJzJ4YeDOA6IGh0phOE3/BeuJhO0q2x0c0GWdaDk/A7stlzUl5OnNNN
eZmsptw1jnXSve5bWjAwJ336RU0/JgfiaQERPc35o8FiMBhbjlRXvA8DWw5vLOEldi7plHl/VbfN
rhQTFtMZ8iBayYp3bfrhUxvHA3Z7VnIfSwHwlKX9ulU5Gkb5SkJZ0LnpUz0g52mp8tyMo489J94L
HwwUYme+yN7di6n5xHGgOIMn2BbUfAQVbJM8fSWW9RhBO4qz8i3ysve0628sS2El6PRAFtMO4CQ3
pakOs3Lvp5gYG5uxfqSqh6n1D7XlH31bC4D/wosyt3Oiz0AtiA0DPwdM7arBFtYnNWRfMRinNoUE
qaRrZHd5uTivc5U43rXS7IH/YXf1ACwVvY9da6d/e9AfPajBhv3ve9Drt/rtrw3o+prfNaD4Ry3b
QgaDR57s5d+m1NhE2csjs9UFqcy/Vyd7P8E9NEw8XT7+yB8Wg9+m1MCHfD6CG5Scvn/WgzIN/3MP
Ss6fSToWnmvkAVhM/9iDNtzHlj0Yy01dY3vUjY6LHqkefvP5SU/VPoq9bxb4kiCq+3fRR18TB7YV
DqJza0c5lZT25A8qEPZ8sReS9+yOXEoOTvaCyY2T5Ls58m4BPvA06L0RqlHss8m/jKZ9VRXV3pP+
AWI9OmUaTc9BiNLIFaDmjA+Oja2nM/UPzSnP1IZobwdLXty1SdXqLCKb2Q5ng/2QQgtc0MIJeyQ+
2PCeGdzetkZ+YwO33/RNCRuAkPvnzJn30YRGcbb9O0SWD3LM4LKynZztlOinvBLB3FkfYyXTy7L0
NRJ1Pg8s9f2iNURA97QJjn4otIz4qUlvAhQ5cdj51DyI+epTT5xcaNSYb3vD9YMsVpwBNsmA+bvs
k2DVL23qgRAphYF9W1npnij5aecKvHFjdmjWRaHsfABBcdBYuX405upsCo44HQR2hHJx6zW4ZaPM
vRqzit3a6DwoPXF2s9d0W60c+C78xrrxcudYjmzgSO5yqP3t/IhG/drJzK1Zlt227aKvrfQeU/rX
Y6KZB2uOPoQloIJYE5ZQB2wH5BpKdSbb0IsPVRy1G9y64nH2fErNyT4WJVR1S9b3up4fJjQp2xhm
P6Vlq7YwNKOjMw40mSKjK0l92gb0H4jMZwa3rD7pJb81esngWunDttMW495XukeYVxbGNtBoDX9L
oHW6oFBeVyBw+AuigKPy6KwbEulxlY6alx1r1ifTukcZLDYq3DnpvqN6VAfSqStAWQwYTth/v0ut
YqhKc3daauSLet4cGyUfW+GwxO6Mg6WR1gYEC75gb4eDB/B+KCtw4M0KiPqswKBsrGU8i2l4rVsm
0mgGnnsDrXfCGmo7RPXr0HoCb/Ry1ZcTImyxdlHp3dJ5w7YCS9qN9oWdOY+E9tyNutjSRwOMYqbr
SOvGBWjUkyNpJ6gnWiurNn7W7hG2XOUOcxXhd1+XOroZRPaEkBpekh0dpaEQEswQk1NdJWGTVu0u
ics3X2QXqiLgXzIO8Wheytw/dGtaI5Hp34EKPlXaTGymJqHTGeK7mdTPA3nVmoTA2eA8ehsam7JQ
+8LcmVam8y4mqIqtPjvZnZNZX7lKzq3ufkfGfJ7t+nrRWV6jrqbDs28m+NWXsinYHpG/QUDU2QQ+
1DSQKwD035MItYrfZ0bMj5kWWrN3rhPm9kPaElyGtrystcdkcElRzvI7L3E19AUNCB+YOU4fIQrA
e2hH1ZbmKjDHKCho3TTNOQAr51aPUkWEQutv2a7DP/IvjN6P7CBuEga8PfDuxhjb88A0ap8Vy1ff
oYDraEoALygQlYQ+pxKwlrrqx+Xo18k7GmuxiXSyTorR39RJ+tDl9rvfxIrMbGyZpXKfYR6WW72I
eIipXDZm3IWF4ixkmUTmW1sac3H9743748ZFnfZfbtyrt7b9+E/evd/duYjkfERnDuGyBvfqn+jG
WHvw9ABsMNGm/ubdY+7LRAGzK+I6BHYI5X4/93WFi95uXQ+jdv1njqAfIr0/zn1thHoWidQGRyrG
pHVz/DvCzdD7k4ZCdbyZR7N1w3iI0hQ1PIRyOScx6PTo3C2ZNMM5HYbsWe910C1YDpPuWC8JQLiB
i/Kqnf1xCdPJ6BaiDeuyWtGfpmN/WwmllJR0/EtI381iCwfzYXJ06X/6otC7h7ltKYe7BIgxmrdl
8YO8rkbOQbzT2OOUIw1K/iYbkaQvlW7RCffcd2FhUBmHGKog16yweXy0mb6nP2NU0QzSsp9yncjG
HTFtRyyGrJlKx+oOtTbMh8mc+/RzXFGw8gcVVsq06MI1bPgQr9hYLfIAyK4oWR/ThwZYcx5CLcd7
PazQWT+mKhEFADeEsvb7sBJulxVT2/0g1tpKWnsbiq0zatgUSu+T/TaoskISjlvzMdLWQdUMgHCR
8I3nWJJl4K2rNJkUxgZ0Bdq9FaIrVpyu8YOsW6yQ3Uagb+lXIoY+g+D1Govt84rl1VdAr7OieusV
2mutAq980v29V5cfmbvYe3OF/IK9sfZMNpNQ/EAAS1Ttlt3nt5mgs2SwAsOEkU+BgC70Voyw9MyP
eAULowfmbbHyUgtpERZVAeOD0fdO7SMPzpL3W3aqzIia5tMdowh4PItxFz9SG4wr2DjvDFqUqmhP
/oo9NrQ4xUPB0E+uUOQMOnKyYpJRSnAdr+hkf4UojytOuV3xdQRaEdCxwpbHHuZzuQBgRtHzmq9I
ZrnCmZsV08ycBeqwy8XBpaDQA4Fzhtin7uQPxPMKe3bpVDbLrCvyF1YYNAZoTFQ/ANFDRcyOBTR6
0t0eYhgpd9GKlOZ6BoMbpcXh32Pz52MTB+PfNypXVfs//1vKj/yj/Wu/ovPSX/oVgsGBoTKM5ZT8
K1HCR1tMK2NytKKi+U1VY/3E/gpeO8ss9C6rdOZXVY3xwxLNsWoT8QVT4h9pj9du5A8kHAzUYhX7
uEjYyIn6U7eSgoumrffT674IF9ulXNhb6uV3P5jbn/+2/yn74rZiUt3+3/9jeHwjf/ksdFeE29sW
3B+bH8/vz2cVIcaxFzu97qo0yRFPijLeYAP0tpFpZGFqtg0QAEO/cqVXkmESp9t8ic4DopN7Ucd3
eUL+ph0nV6MQKGao3Qn5ZBOX64nYChkfR6M49gN+qIEOv9evxDLetbNxUUt1nhrzBjf3SaSUL8XA
CBatrr9z1+MlQqC7JmZ/15lib5yMQUHaZYwS8/4Th1mD6tOBFdYAnfJRQMyolQmunIE4OqdRW4p9
NE5u0GktXDXfYBzYL9waWVdCEDKs58j03b2b2+ZXoyCsTjMF63eRxU4Y96pGIj2r7KWqdOKTPFLV
DtInHOmomyReoCfwrp25nVlwk+8Eg8uLIZCbtek9L4ZyglwZ+b7R8Ort9WqEaL+tdS5dxTCi6OaI
jhJ7q6cM7cLfXweryDPTpv5caeXeY8ceUPmx9Vot7o3rJQczt7JTD9rBu+XzteZXe5awxGmYhopr
1GRH0tjTbazjtVJy9tE3Ou5pQBDwZe3XXwY3xjGfzwBrurK32IIgmtkahk1J7nEjYzMdW/+pqnCs
OfjFQ8LhrMCop3ibA6FnyCLn42DYDDj7ng0QP/MrZuXtW4u8appJw5jZMm58lRw1A5ImjAG8IuQJ
3y8DSgcx5yEp7f49uAvq3JTINW9m1VXVBRiSzAqGSsfLn7x4hc1SYSmGwFHJEuLcM9gToOaY8ik5
OcQMhy5CkX3X5fq2ZE0BZHIwgOyrdu+Yw2G0Shc/rtHeSaQd3DDFJSnzC+FL5a5okjurso9e3KN9
d/IDT0wWSFPctv740Onu8CQBlH5WjMLbNAuccXI+q6QP7KINskjpj0Lrd6hBCfitstBn9ph56DQm
9CqtU39v2+6jTJqPOZ2fsaQEjTmc/KnYcYCAl1r21iQuszegce4OIBOuFsakshneUbEj3NJ2+ahz
/5BS1s/fILNxb32LRK8Ho5Ob3OLEkGb28MV2kvd8cayQIXR7QrMDRndcrozCOJrSuDh1j+Az+1Lz
68N9h5LDc9GZOjviZQ8Qf78QmhDKgvxnJdTGJPdtA6tfYLeGJ6fPSEBc95bv8d4mpDWYkkWi0IrI
bxpEcokth8SayLjr8rK9jKo7S2PizbyqhBXbtCzibvSK+ezzEIkKCL3fBBOJcV5t4jiuXrSlw2rt
PvSGvCtVfeXy34PhXxX9cBf76MOMOjQi9LJSThvW17CW47FG0E/zLxtxnWnZ1yrTv9aof5M2w6/q
ndD/3+FDxjlMylueX2yL0Xqu5vPiutRiFAke0W0qcw+9D1W2QYsUT+wFl5GN8jIf1VKWJ8IHvxcz
Bk4txkk4S2TQ9mRme+XX+6jVtftl1tTuv5+8BIP+9eQ1BE4VZi7Mvfj3H0/eeNbhAgPkv65UZoRD
7s+hi5U9KIgFvOoKcwzcgSQ24NRUTcuHXqv2TqlMPHqLh9Jhmu771SkwRUHmuy9i6ghxcD7LLJUB
avomJPqapPJZ7KqF93QeQf6P7HY7UpDCfIUa5HrdgbikdyIk+22Sts8G9LUQGztJxYKWPC+3o9q2
01GvMzRpUbnX02ZvgLHOARW3hft9zouH3k1PAJ7PS/v/2DuTJbmRLMv+SkntEY1BoQBKumphBpvN
zXyeNhB3pxPzPOPr+4BMZrkzGIzOfYqEhEQIaTOg+vS9e89N9mUL2q/Ij3atO3QARtJxxnCrD0j9
a5KepUfMTkAnyKfX59ZqfS3Glk59IPdqgOiYjrt69BqmKlE13EVhJxaObEuuBf0swiljCCHhrYXx
RVegx6ijXdybG7Of3a4QjL0sdhiTzV5iAL7gZVamXxwTn9Q2K9PPYdIfiJPZsq8Re10gZM7Hes1g
5RxHyTUEUYRnWZe4kjSTpTEfg6vqkllj56Y0yqn/ojsxCnBnQ0jPwWJ6M1tkuEBtZI9xXM6pdRut
QM8itCea925qYGNxxLZnHTLq/EvuWEe1xJXjO8oXTyOPpNDnSRxwItDK2k4p5rWsOYaWfNRVskRU
+LHkaj2Nqa4to3qMYUf5Z2MyNRc46BxKytiT4Lv2PmeieMAFV10kVLK731+qszTnp0JECgvbI4kf
hk0qzucLNQLVidg7JUCOvp4R7Sv9H0j/t+G//Pf8F2XIZ7sjT0lQCQIXG9vEbLCc2TQfixBDAvaz
HR9asowWijyHbbgNi+uqx2teJctQYoaOVr//VBxAP32uP7/qT5KktoibQhiKcoGv6AYm4Ux1yG7Y
FR853WHdYjrC/Nd8kJ6xAyqPgGiAwplkOCJUBkvLrJoec8U6ho1Ql4yy1onTa692ICw3VaM7SQuF
SSQ49EQ8YZ8Y9lpiyJarKctX7WRlK7tQSlcrOnvJSHTctYNlvOZZRMwOZ71VGIZvCdfqqlRl4LIC
j25Df33JkfqmFcmEvDO+Q6+o71LfuAzQNCEF3LIp3dZVtZZ1Xy90M9oamK2RF1OhJH2WMWps1WVJ
iqFb9SZHqHC41oMMP0PYQRf0aaA644GL/mtZI3TABbarhLJFDHw7TNGDUOO92eTIZGduaOgZSJka
pFiyNXfxFB2Q67jZ6OmukagqG0zMKqs+dCpalDBKL+xg2GRVv+q8iStYXcWNny4DztZ5lNowCSLb
rRLvopidCqa11XIMVrY/3EDRoYCjU9Y2dJVJ6VGXk9VsiBKijd/mL9IvLyo1vSqB+1TN0Cxqbd+Z
ncLx2dhaSErdQtPusjHYDh7xl13VngrJHkn2xY5z3btdqpjNQntRmmLjF+Jo9cnyby63v7vG50L8
QyME04bF6IGrLTpmlyjS1uWhvO83087cyqPN1rN80/sF0tSL7Lk//P7Fadp8vIV/XOrMURCR6KCa
5jf34cWh+9hZzHz0onDJmjnqy2KN81w7KA/WWl2pd2dleXzoVjQluxf+lZzGo7rYh2vvZDAy/Zt3
83nj+/5mDCIlTDCjHKPMn3hOo9qjbNai4BSol2CKF6H6UHXfj75/uaJ8XrP+/BqzHPHDB56qtFWC
AKBFXr771dYZr37/jf7yM1g4Hay5j0aL6/PzI2bExhSWbN7KZelwP5jUnN9XqP/z6UPU31SVbznZ
daEfND/97//c5in//N/5Mf/8O58f8T+b9/z0kr7XP/+lT4/hef/xuu5L8/LpfwjpQ1p61b5X4/V7
jVznh85z/pv/v3/4H+/fnuV2LN7/+z9fvqSgTcO6qcK3hm/m+5/tvvz3f37nlRnsIH99fAeG9B/7
/KVsw1+0PueH/ji+wyYDggSylrkid8+8L/3TFKNhfZEcnhkqWmhiud5/mGKId6eHgJGXSSTH3o+t
Twt7PzfItycjj838VxSvNBA+3XNgyyjrHOz7tFEZRVrip8sc7nc6DGKszqPSSdy7OlZVGuiZHTHV
CbJzKORFGFjBSZoIsTksXpUjBczkq9eGJ67jqn3P1QL12BDs6I0eAktbd0RYxLq+VLppn2QYYzLN
nXTg9Z0YXuESHdWEob3Rpidd2GvPt5BOKet8VK5YQe+sMXswoe7YXvlu0+qqmEElY7aLcWkGijKH
/Bg70w7uKyQrGGGvxjg5tWRI4mA4DaSGUI4NR2lPm1lg0Yf+nYkoQuETrZKqf3XC5sIjxqqpjGei
Ojdd0+wzTzLXBA8rypMXBCcnJx1rQh0WFKcW34qRs3IP+gOohm2gYbAZRyRMkJ60iFtLW7HZgaCZ
3EDtngBtXwZBe+H347KjGSh6VPGJPFWcG0Cz1pWjr9KoR6/Qtmgb7Be6dbiVxQNJpDuldpCZ1Xji
JoKKIpeSeiGLivYwYiRvCM/zhhMjoNAiBFR1up3G+jq1m9dMH06KnZ0Crzx2Mt2aiPcxaWzbktGg
X3wFcIJHFvOw53AGE9dWgGCflLttY2XkTiXgLVtLoaHKeu/FL0Yurp2ClO4QglzSWudWaY6+PkN/
ul1FjVtbynXkUHSr3j30qztMMyDaQP+g7yMUYdZweGq5tNLyIrSTOVW1HK6SEcAL+ocXq3OqTVEO
NGbNFnFt8QCoJFiQQf9K3jQlblX5arn63k/3aruKthFwqh17ehWdxTRBeYiEzIxNV2XMqbSeX3+o
d8Rsq6ipaOyAd7yO86bYE77aLWvkhYhrgT8N5kSUNdmwNIZpaJBYq7ueMUXXuqZvYqhNjMv9bZRp
9QyOsEGPa9OSqOVpidUKEVaBCKmxVSRQVi+g/2SmW8vxJhRjCU2LOZNn4HqdWkSwuI+Jx/PrOwbB
FBGypcWT6FehTTNlou9uohh3lBns673R06DbIM6Tbq5FFcNVitHN0Q8WiffOEO+CsKsHpedxF1Xb
dCv+LmKnoiVxTvrkl+dXeo6pGbGYyzS7WXgQD5cTsj2KB/HqY99fqGjtFkVdtm4tnBPtX4DSQ/TF
UdhiO0GOBMLz0o11+90vnOds1O/AJr7z/mka5Wq9HEdO6kZBjRSk1EJ43ZAkxMjjO4KAiqRyyRU+
d0G6p6C8F8P4tbVU/CP2HusttmKlXbGz3IeTviKQuTyNXl+uOUOSo9cq8iJPvBu8QYTdMmJd6d/A
9AJtWa9lj3008S2X5Crnc3DN0FcuraJsHcXDzlOSTaQ64RL1FZmPDGGTZjgD3X5F0Pc6iI5NbwA6
NVmScNjO5JEJk+oKTVipr+0CG1hp6Bsv1x+bkpkGyxSzfibwiMwWrQwfR9/gyRXxFnpl6koHH3bb
vCoIv+j5cMzzVLfMvAcwrhihmcNPOpWriGdpgqLPsrkW5HNxG/Qk56jRDJnDWE4spPdI8TmTzTyL
68tYI9sgxMTpuUXDGKFczm2Jc4d5hGF8TVV9AKTkc3DE1RKizyP2r9yF4SR5b92+sOvzkGI8pG6m
uWGAqELy3XT3marum56jdKLQfwwJ4VnAmj3GgXrT+83BzIJbbbRwC0co7auIg5zoDVcOyjFk8L3I
xviuCgS5OSlh9ZgesFgH6KbWiGv9YKnk3qwHp85Voi7YCaxepPUhZVQxG6oT58Ix4/SZ1WmOVRIt
VDxeFSkSTEsbkqsw57D9bQv+dy2iUSr/dS1y8fLl/VdMxvlRP8oQJrAUszhaNJ1cWHywH8oQ9Q9o
9swR6B7rZLzyRz/KEOsPxEgOqR8ce0H9fCxD5B9IpTHe8ABDoyX/L3lzhZxL3Y/Hd/gltmVBK4L6
D31gfhMfS2G0JWOtN5p/9pyU1jpa9aYGvp4QtG40yUMRKwgCG8ediGK35kz2LPVpI7SzGpjsrA6+
hmNySuth6FvJYQCkv5hwx2RwrF0Nef98dmQls9FHEgjPkkFeReg4KxEWb1qLo6Cx21ODnqjTuidJ
rLyGW92cc+ZZt56lk7gKjcx72grqNqOT5Ke9t7S8WRrcaPm6Jbo+D0Gh+Jr+BL4rc8uQKS1CcWZ/
ihTrofG+dn39DqaVZGkctSs7h15Ix/cmjwM4kNnLpPb3iEASChgffYpJdzlGZWRKxXRbkq0XhRNA
QrDyV9uM3gKrOqWmKlkm+IhtRfpqXWiXxI25UeJfoFA+YJ6AG1SZxIyE+qUZRZdqZpAqFSYNOBL0
uwmdjo0URbfo6v6NmHpA1lobLuKAlNgpMGEiqdFt142X8JAwOKnkCdQGzvw+dW7qFKFHql0BtqiA
agjAk850CBJnHzQDnJZABVMQkFbZdDtfKxBx5hQdsIsAM7QmMJGwhhYRqNNdHefQ0HITHA3iToy5
jbGHsxutnXj4wqh63PtdACAxU3FrppG9MZAQ4SswjrLUdqWwC8yCnnc1Khnq97Jx1qPPyd5JCGzy
lVAuszYLrnIJi7HCBh1aNNTK5xHc7Kb2jXkyH9Ao9y12z0KsLchKAHKZkMvMWzd+Oa2QnUNN9NM3
9vh0qVn0kGF4p6sk46A+pN4zBIqd9KviIowLYs19YyRJNUR7jyJLnYjn9TQQoJms97peXtOEDnCZ
EI4WDSYXZAtDS60B41SoUpZ+O721lQptsm5Z8RWRkFuVOfAPcmsbRjowktG+wP7ruPYg36uig/fo
aCdCxbKl0XAp018eXL9D61f4zMg0Rd4QG/zcWXFE7h6zptq2km1TD8my9vsbZfTqnUcHGiAmeXEp
OC4c7Lh6247L2LEuPRXRWSkSsSVA5smJ9Fc6rxtLGZqVPtQXCiQgvmebzL0+c6egfB0dMTMqLNiR
We3IK5zcDXrhifkee8xMmxgquBNG/w5I9GHwuef12M4Z5KCQGxHgjTO1AhfQUz9zLDybytKb2Rbg
wO8Hev90abGKDji87JmEkc9MjBg4hp1DyejBZTCuInBjJmhoM0sDVkeJIB2+BsnvtxPAjUoWGI4g
cLR59jUEyaEbwS7T7UNnkyABsmPC2qfTxA+U4EKdmR75yICdaGL0AZW4VnOMdtrMACkxh9kzFYTG
9C7/xgmJeeOOv60BiCBW+CoBirD5zUsTymwvHfeIvV70ueFUarNcEg8Xxp9O7kOixOzBH7x2GVlN
8wCKpmPzDAoBxEep8hujb+t72uo9UxKdLHqp1l21NULbfPbj3Nw3dZH4l4mf+PauKRXx7PlS9y4i
E8BB6sSN2zreg8aUZGUOGD2InUjA7IhoKzAfrCi1kmXPdbcySSZDqKk+taLdToSNLBhZbgM5eRgL
sdVyrsJKkXtX9jSdh6wlVS6lSgaqcJlIn5YfJ2I0+SHLU5zoq9aPvvqVdVVBuN0qvbkeYVxvE45u
SwsII/MmZhvdfWnm+CrmAaMHN9oh6LFUp0sHp2Abj+ayKNQXbWAdxw5H+EB6rfVasmwar54hmSHX
mnceY1Vfjk0Mb9aPhkWGciXeZTlN69rIXkjxDPCiteS6yfAYxtGrbvesBtSKgGqyciwWk21uPCG4
DxPEJpYS31IxoeN003g7ezmzCaooasjOPvuaiWtojL5KI9hPaUNzH/gkTrSVRvNoodkQ5JOuxEyS
9jfpZAxu4LH6VWnqAyoqCENEKIjcL4SqDXl7FDgjO1Vbpj0aDF2W12FkogSqrKOHyTOv1XBZ9rDw
8GLeloF+EgEQIdNX1mZV1UvHyhDU0ulOy5OCLHOZq/Ihsru3qJfBph+SQ18M+YL+8MErpgdcj+hD
wvNo5ulSb+S+8KhM26hYh466K2r7GWUBSCcVv4tUcg3wr3bMjNBYEkRJaQjNkjEZaCXoWLp4l5zp
1v3EYmvAOo1ShErAHMBIjQNmgWovGhvsVQg7OKysnQPGbOFAkYi7ibFyeEPkF80Wa6cTQh4TKNXl
yn08Z36qJGVVbd6w3HTrVPPfI8fZmn2+yxX+1Cvsr3jgvhS1dkj1YPPvevK7NIVW0+/qSYzcf26I
zXL4H+XkN9QL7Q4GLkhTvinl/9nVAvWCUJ6YWwc4B9DK/y0n6WrpKgAYATNy1ox8EPRZf8yUfuB6
BtMVgdDjX2lrwW35uZy0bPTzKPbF/C54ws/lJGQo4ocVdTobaXBfGtQ7CWOTRVaUzDKmdG2XcqNx
EZkj1LPBuQfrhoa+HbjLHXkb2eLCyJtdGkWrsrO92rWsFMBFyKT3LskdwlB09cpXsmrXsBA6bpZE
yqsOVQB9nWZ0wcECfU0meqZ68GataFs37HlpG7VXKsQIN2/lTR/Pc4NuPDsmSSlDZrhFgEmmHPLb
cVTuczO7w3PXLlSdNVmtqC+U8RyE9l6zDHcM6rdqwrocZ/3Cj9TrItIvWRbu9a4mRRiR/sJr5glk
FVM3ZF9HCOOEumlrT0C80CFtUdsO56bSXvDODa5Jz84lJ+lL2aeT26iM053BXvlqA+wqDwC+AQUk
ukMR467HBreErXHQaAwZHHVbLThMrbVEH27BBgmY1+vdoeqKh0B1nhRh5eg6jKuYnODGTO/jEB5h
FU13TdWvu1YrTpo3+7fyrzq+xa4Kr512rkiN9Ihfa6el431ctwcl776qFSWpqoxgrQ2Dk3WI41xR
4mZhAJcua6VYGoFcKmNOV0dnWmIyUjjr6BZRuZWMxpoes1BOSu+c4pfjAF+kaBVXdhzT5RkKDRi6
9RaM/j4zwMEgXMYgO6DisHVWLGPbttXZSwiAMphzYQGvygI9pWzTTWMmHCjMJN0ZTbWsa/OiGYDB
GTlt0CDr1kL1XmP6GXEyKAvRUvhlw4svc6CE7EV54iAMIGq5x/lEroPyosJJX1Zdw9qKQ0AD6EMY
mH2BBIzmj1q3a70N5DHpDfI9s+omqJGZ6E0KoEP3586OE7lT1c6x59OyluDXks5CLZ1qG+bG2EG5
/k8toihLETulrO8Ri23VVr/vO7y6flCrblPrGnMVPToiZKW8IyMGG0BK+m0XKYtsiMTSgHqwGTVN
PRWDQWdLn+vTuNs4omAW5+/TGEDZUOovjFhMUDBjeMb50i8dcnZGG8J8AzsdDWdCVGv2Otb5Wu/C
x9wnq9FpQIUF/J4RrWLsWXIRDun31f3T4OKjrOyn6YipovUlAYC5CERcQkJ+OnIWBvHe9EW0c5IS
fvsFh+/fDqV/8RIOp22oWKyRKkKKz8vQWPhDHdHcPcf1axtfjsVt5hz/vUd926PmSfjv9yjgji9/
3qbmx/3Ypuh6GCpkMYTl4h8Tln9uU+ofhmMa37eveYzyoekB0FgjvuIfmVtcFz+sXhaKdIMtDQ2i
ENbcKvkxhvqHfuD7ZOzXegLijX/epRgBIiugKwPRfL5CPl8eUaXEujXpwTlVwe9cBFinngdNDeyd
ifPIv8yplPdTW8pnGYieAaGSwZzqB6V/qiarvncCkd84TmhOS4JC+3xtZFbzUButxvmBJsRKBrio
RKjcDzqLDxADsUx0+PD6IHGGZpvW185tJ2/9ZHzp/elFD+joMWyXtZ2uyFfa6AnBBfrIuV2L5Wro
PPJCqz2Tbuj1NTwnxGE1lu7xJS7ps5c9gCmEUzWjbdxjIxKgJQiYdZLhrlZm6KvZOjvhV9DUe29b
pPJadOZ1GkrNjQ2UOt5wgmDpu07HvpSVN4WhP5PHYEB+Za8AM9ouEMITJR066RJdIWodYeJBsY6d
XT/qKdGEMkuOeLQPbQAKsvR02xU1xhVR4XdP+wJi5BRfd2VxV4qpuDAqDFoEWWh4bDjjVrhZIRfO
lKkEfEBjIC4cMPAfMyTYk1U8YkZnnKCphduq1ftUVyNDnQECfN1ukzraYPHdapyyYFpGHGScpRAg
52mirSlhMdpGfAdE5GCD72xzG2b8l+iGdpE5+X0WxF8op69sEbh0pt+0OLiVOWafponE0cNcBA3r
KizmCF3TCpYQ6TxM0vLoz8zoPBHXgZS3ogKSyZjoi8yzw4TsshhtZG+qzcklsyzcbnm0yP3hwGhj
2ag9OLI82yQhhm1dtLAZtA5CVXYfyRqVEbnea05cK1k0N4xmGLj1VAGBaq9FaXWndm7mWGNtN3DH
dk0s03vkkYNbxe3V1LGXmUYAXYY5RamAcozG9q4ao1ev69ETBPTGTUC2BP0+MO98tDx/qVOQAPFF
sjS/DbW7VkYywLzpnOBZp4mFlx/P95ifYHscEye+nEaJAZL+QRaDpa2IDFkIjrk7tRgPoHCQD5jR
MdeJVZmDTQLFflCgEi8aE5i/Fg3eUqnCddzHJ7NIz4ZTHYQjL7uaXkYzo9p8SwC9LZ9JsXUDU4eS
kjCAzK190cnzGPYG+z+liYMErispHr361o6sV6kMF5Vs33Uvva0ba6dZ8hh1sbZTAws8eOIAGc35
HVDTf0mYXp1JEAGXPiSgrTJ55sPLRdMHj2UFW1BT07PuaZfIPtalE7+CCVraUAKAFkDASo30smlz
m6MZZWfaZA+BZNTPtqkvFDVLDkrSFkszgCrqMaRmJJe+4E2IVxB+rrTae0yUfFxi0cFrggzMsadj
kjUXrRbTjRFPvUxfqCb3k8mL9kBMi9BNGCIGRXOuE3UjDDAcBZmgoZfAUwUQkwkbvASUWKHPiXwa
pEAz2DM1MQ6hVmVX9RB79X7otFngmHWLVDcmMuxKFKeR/dCmJDD4eapx9Eftty4TtdnQskLRluXE
Qg1CvxxGsUfXoJ0Cbqwlv7l5ziwqE7Mjc4tey/AwlZl/XWGDPEQCsG/DV7DqEyXZapDYgEVTQi98
6D5MPmQTbBvFwMWCwijB46JqayUi8OXf2/S3bXpWDPz1Nv09M2rxUr3+OjXq814NJhArA/4rJBEq
R7oPe7W0ODkCB4WlrgnOjT8mFOYfGrJUfAxydmCrAnnFj82aOGCJ7tompEBwIhX/Ur7bZ6nOHO82
h8uhugDqjNvWmA+cH6Q6RkAkRjOm4hRA/apPw/D04Wv5hbhQ/DmVygEUz/iDaYruEM8wT0g+vELr
1aLxzKE9tZO5Yh7+dSzEKfGia7NqvnJQA6JXhW4qDE6wSrbDzrytymjVWoRDSkXmm7w3NplVbZUa
iHobrEVdfFFwOCBxPjI3HPAYx/1iCpKz1mlmjAG7KY2zn9Y0m+amms+XyEJRpuPaANTNRqiau4Gj
BbNqFc5fGkjM2KEFWClMvuAeAP85aclK1OCoKtVXHiOSalwnFm9tgKi80cDICyzXBxCj2KA1+0yv
TyHmqnp0Ksx0dA+YIQvRX0ZDry0MPW/WWkWhMlbZgXPgMyKSI5JHVod0PPassNsky7fYpSe38spb
z0w2xhQi2PMNnGfZs6L2xJCK4WsaK2fwyvBkaEquW2G7zBRurAhYk0qMTek8x6qyzYp238CdgPA6
Xg0xOm0YLgt/qlzMZvvSsl48jVKAkQTGCsVt4/Clqb2UCYxYAGncEhV8ViYenvU09vSnOvZZ5yxy
Mc2jyErTrfTuImF1kxy3qwIAEkQJ8ITOfUSfl65qcll5HAHrKTg0ofqEYKBZjkq0F4q4xT2A620C
y2NM4iaEabwM6iFYtXa4GxMULWZkmmwgcqOWIaQaGT+3AkSsiq8XR8sCq023Zky+H0icckT3IHJj
SeT9SdbyqW6mcxxSMKSAyVsv3ViiuwC+uMvHnnTV6CHo6IekTr/FH3HE4nEjtZyRXJQ86Fl9r3kW
etN2nVdyb0/mWhmqZ2yFGBQbB9J4/ZTz4RllDBtlnL7EFKIEKy0rz3SNeDgWiLspMfxiIUZIG41d
A2e3KGWk9cxdwNAkevI9j3qVrslaaVsum/LrmEdbG7W0MIrnuS+tKOpNTSsaRX/k0sJZqmbyOsXe
VZySicMZ/kgGYAx8mia5UCzibHDxF/DV/NCHWZOmr44GrEfBDbiyJ8sEJAmrJISW7yqFBppP3kSO
eGyLGpW2Tu2QFPPdE/U3qhYdlJburV4iJDUhvcyY1evBph5ugesfsFODZZNGvXISGhk6USGrviac
odHlKjTlvcoQzHVKz36FedetAhqp9GULQoPAC3X0XtJRQXiDtjw8DVVIrClCUBepRgvtrPAh5pF5
FSV54AqmgAh0FHXVTKJeZI0XX+e21BsgruqhkIQQBKO+aMrq0CCMKERR77IWeQ4eISoLvay3UK2i
lR+2R+yoNMnjAgU9VklvmEiZG4BlIuMtVnlT5pgNw+RsJWpCbaDUVHh8Ys8r3sxpvK8848WKyy3r
20VEX3rpMHV1x0Q5euhqZvWNuYilOVD95OkNjS2orZrlJQ9tnF33XdVj9ZEI6KmPdchnkYDzq7Xg
T7MDYyQWRI03bfVXWQvxpuBAwhq190tvC6llJuZS1zdH2nBkRjGvSdSHmAOJ0ar73vGSTTbEzyLy
zEUdzqNPTx60Br+BJ0LrtehRakxTWaNVp/11G2spfanQ2BgWBwxjQucb2FOMMCOsLiY7Phl6sY2d
+korJfPSul4MaQtlsDddlrydzuELzLmsdsnY3Um47iS1L1sSLhK3rnAHjfBoHdacdt+rMn/ORKOw
/ipomUlEH1siCXk5lM8FfQPy9KoRkKDVbcHTdZsMsdWGpT948EpeQW+T2wzQBtG+qrNvxyraQ9E4
ZUjYlwmn4l1LMBQFvnULIBfBjogEcV56XTJr8Ly1GZe30htv7cycHicvCyn54BWYHAsXVj+smxEh
R6F22QajGdM5HrioOrN9rMLEXg/2CMsN4A75XyJotgI11CLui7VBre2Oaf4kuwLoBeofa1y1dX5W
R2sfl+OdGkSrLiSrIi+CuzbRb+22dPBoDR1d/ahycy8ZZzRSvyhU9cmA6e0agygfW1lobpFT6sGq
jK/JiaAj6RmP+gA60tPNATAhZ66oVcfV77fnnxo5s/bflhqlhmOZjCUkTe2Pm7OeptKw/Sg7NTHj
1QE9tOyv+qpe//5l9F+/Dn11c5ZB/7kIaCwonX6QnVJsQrXU71iVLunbPbNcVot+dPgBxmTbDQU9
vHhb68ERcxkHzOzASnU0YYJEHCEDr72WpboyAvoAgDoz33un54wgh1tATBgDVZ/Wyj/rul8UML98
5+g3oLTSvgcK+fkbMtM2Dxsnzk6gGxf+eKtGiObz782uv2zZfTPi/69MhHaJYzk0SzC28g2ZXOif
X4UUlIJM6rY7FTQpMWGInYEbfqF6JftG15kE1nSPoJDzqwxf18ggq7d7gKkjiBbPYLAbpetAmdqr
NjCcm4xdqc27E+qThLsEy4RJhtPCzP1TCAp88FBb9Tr3jUxpHI+OOV2bWvISNwmwEj/cTD2HqlrD
jUn3F5+A8aZU+hrbZ7tkVZKw5BxtmZfGJgqqmAwZNBBjILFz6e/g0l8Ga465ogk9WMnFOBFUaFmj
gqKljy7UoIDJPDAB9TVUfYEDME4L/Xuv1dLbsjfZPzTy/dLCXGPsa7ZSw7CQs8VpwEvGyIpXhaqf
0drgkJvgA2lGcvTUlxainGntWBefbCUh+aHXtmMknhIDfFxWZLh9gA4Y0A0mQekxcJu5lo/ydlDS
bdVgG0q1Yc/B/AVgY/BGHuFGlQjjrCS40POZSFuXa+xI6BaIvEulTHBjMgmV03CAzv49r+ovLwcU
l/zeP18P3JDYfr4Jmb9ZCj4UzZ6h5LgHTVKXNf3FIIvQnYouOUl62gvW02e/BpeW1cFSkwPplUm1
YEW94Fuhjx3gt6NXdQHqhiRS/cLM7UdDQNCrU7NE0KMy6DdxEfkhnfzO7mz8giLd6mzqbq+FpYuM
kHqEhUhN82xJeM+Nn4YQOIOanhJzesar5Txygv4/vVW5fHEImEJflFvLKtXvJFhUUROHbAAek0Rl
LivyMJDzyMfIlmTQ6l8IsSCbqGcZgCEvs+HWc6KjBbK+JARIYv+ZhgL2pX4DevcijoIbYtmvSTfa
yLF5ZKohFtSN6kqWLbVg2UERQFNqz6AGA/cnMdHsHFJ5UbgmloVjPGmG8qgF0KNK0GarwAL1M9EY
UoZ8pYlqo6rRzmGmTaMf12Pnihjtn233B4txSq91Nds8VsikuTWIqnaI66jz8cXoYZIb1UtmIToY
eZ+4NmPoL2BZjlYm130u3MAKkaZkzHWc8CoulHg32tMqr8eVTFAZFRQ0ufQ5l3AzdopzhbHzKxia
WYyA3LKNSKNpibKF0qT7hA5p8igJQwwNxn22BnBC+BPZsVSocRscFc1bxVqPcbqZ5UGXM77RD5g+
xMohZRdntrW1teSpK+g/ANykZSlcDT4wnY9+3bC9g9KhA6iUkZsQjB319mGK0Ao4YYFi1e+XNWwg
RF7aOkK8bvb2pWdrWz/DjNqXx8w2qXqbRDknRc+kJLH2wu8PjFpKukIWv01Ba65Xo21Q9BdKzSkh
gSNopKscdh1M00tpriz0Jr19AlcnSQFAimx1D4WKHCZVLyRygNXgiSPOVLwywO4Ord5Zy9rUtKUV
YZHsu8ktqBu2+UgM8CitLbMmBVYezUpGl1ifKu1vtra/uVONn3rdeuCMkVPE7Umy73f1RZoNy4Hg
Tq8/x9WFxonl9/sRB//frQzzrPnTjh0EGacLVoY8fweL1A3XMMcy/xHZ9u9faEYp/OmVaDMLLEtI
GIU574wf1qC+Bk0UqR2ta1DYqyIc6mXo6bcmsKtdkCONiofuUBRgYnJN1S7sOfRCRrnCYWJSVz3P
S0dZ+SpU+4opsM3gs71Xwvycq9ZNQvnGqWfJNO5m8OvBzRp/nTbhcxaJByVIimu/RbdjBgFdMrM9
mEwsKSxWowaMixJvkzWG9eDozk0xIdggVKA1ml1o6IcJt7xZOOc+JtqWbRuhyyHWZ9CuMic9LZmG
PqRFtQoTb9cXuJwTUI2Mb1EposRJev+pHJzqQfcJA9Brw/+bb/Vzv+X7Rv/xS/1pOBdLgU+dwJ+T
PTwH0+tof8cj/uXW8XfPP1+uH340VUmokfE9nkL7BhjaojTu/uay+P1V8U3w+uEFUpnGaqz748nU
L0PmC3xNajB+Fzz/5aeYv4Wftz+JGRUJrtRmL9HnTzFYNQJLwadwSPxq3po+pSa5Cwfrb34N/fM1
/q39BeHj/7F3Hs1xY+m2/S9vjg54M3iTRALpHY1oJgiKIuG9x6+/C6quaipLl4yKO+1JV3RI4mEm
Do75vr3XBo4/218NTqa/DjQiZKQ/VMhHjjGvbGrLu8T1loLTLUL7YZEtHja63e2/34R28G1wXhJn
/M4bXa+VzeffqvyrsOOPefFxw786AFpdaBUWydzHxu2WsDuc4bZdkTLhWo5lJ5UrrfieXXLGF+Ii
cCzsEI56zF4//y203/0WH2fnvPh8eLiJVyemDM3s+DhsZAfbuWudjcWpxvayXD1o9l5fpivrGLjD
GtPu+s5b+qthzbq3mFbEgaBoXMRLayns23W2qk8Bdv+Fv/yWL9qjaI8rbWNt8l2/ru5T9/bzX32O
qvzNlPnPanX1BQpyHQIOD5mXi3xRuPVb4RZ30rK0AU4sybpxoFBs89X5de+0G9Cvgx1tMT1soyPp
LbbnQDP54dnfPv+t5h7tZ7+VfrU7hJgBKhR54zHYWIvAntaQUe4y+lY4IRb6wluQ0rNIVpBT1/Iz
hTTn8/Hn6fvZe3S12rDUCGNdjMNRnHLH6PvdJMTHrgVJ+/k486ry2ThXq44JLxkSbjIeOVPTAn0V
h3Wvfx8V3NMNpSj389F+/6j/Wh2uK8pCyuKvlVF7DABojd5N4V/+bwNc3fmUAaqlnnKBItJRjqgD
Wsby8xG+eDDG/CJ+eNGEtDAzY+RFy4tjTXu3kB+n1vziqXz1PV0tbrVE57YzouY4zE8FtZU1RPb/
7XNcTbA2n+oWH8x47EH0h/oxjQcEs+fPB/lidhlXq5Lu+cJIcY7dgNgC1cqcOGlOitLadGgJwpKP
HY3Vz4f87fPRfhpcsY9Yc/vl4/PBNKJ4Rdi0RzV9ryI3VgKKfKvPx/jt4/kwxtVLQyBXLZSBOhy1
iBBK8ZKmX1QVvhrgaklE3TwoUV52R5FFm2J0jN3784/wc3/87MW/msdBSNPHS5jH3A0WYD633To+
cEWwt0C3Hf/Ufulfv0q7+/ME9dfbr8+f+sOrI1H/kxo5YI96pDCcsaqSCb8ASfgi7adNtzhPBDWx
dWsOjoaFeREWN40z7+rnp/KsbLm1QyJ1xmaxzuxg9ZW9/rcb+cejy/XMCatelDxeOuk0b+TCol4l
6iaT7EW8UpcP2WKLE2D3Ln7nclbdjzvEcV+sXvK8PH32UK6eeyfUelBaI2eJJZ6KJTFXsr6wdsny
BjDvXlm1yyfCSxcZFVsXv+rKtIUvVuivfgXjat+Dp0VGQF80R2GXLwaoG4voB0lbS2PXvg3rwkn3
xgrHyrv/pNjDKj5B6n/7fGr+vHh98i0YV/MkRmep1hlTs3IHl4TgRTif6jaxfddths0Gg+diOiJT
f4DRs0zdYmWc20W1bJ1g0y+C568QFD8vZn/7ff7zul+DF0zBojeUsaSUjrrSVyQqD+7kTvtwJy1e
/Y3nxra5KdYU9fYkgtw7JqcDMl1XsXsbLudDwr8PB/91Fc6z8a8S78xR+DcDYQY1/P//d3irXt9+
/EZfx7/6U18H3ECcoecaZChWGoM/+qtnL/0L976uWjTnpTm+6z89e4CGaOGwExJ9DuN81pX/2bPH
VYgo00ATpyC0YUP5JwI7GkS/vOFcW+jX6zIJhOg7ZQ7sV6+XIsi91JRxfJJErLhb4OOFSFBuqgo4
hfDRO6mO5Mtuy6i8SHNyCRhAqBxr5r3oRatstpP1JOk05rdgpNRWhN2dpKgVyGm6b4/e7DDRG0Ic
Rw7cdvrTfjI3COCorgtZAwqESSWPx9MgEHSNAODFM2QO1VW8KzC2ZPoA3AarCxFiq2L2vrTm8A0b
4A8dU0yh5PwAZSrW/qAhlDbztVpblwYrTZdXM0UgRSUk4bMp+ia+97DeCKqCgkscQZgN0snEntOn
sKvpO4trf/buDJW57nQwsGlMzIkuP6mzz6fPx9bpZu9PzjbooM+N1gUhz45VGSY1KQ8rTxk8tnHZ
LDOtiFd+jEBmmqUyyiyaaX/qZ/pZSoNcAFVN+VNhI89im2GW3QSBCP1gluLUsyiHEFb/xpiFOvos
2cln8U49y3jCWdDjS0h7RjQ+5Sz2CWbZTzYLgPQSmg6hQLUb/NQHdbNUSEYz5M3iIUzULOEBmq1x
lhYhv0ZlFM2CI2+WHplFNbe+rBGmN+LEMtyqBuT4DXZzIXblPiaQ1Yil71KpqMuWGohRRtEh6IhT
9kzMoZSAAyIhFxQSXVFLLyrRiL09jDlo6Sp+w4n6gGl/n4tYFFOjXyU4kGxD0w6VJRxqaHzY5sOl
ViQkSmTbQq6eZCHeRz0QglJO7xQ/6J1mJvtj9JF940gSHZ6qoDFifJsj4UiK0inEfGpBNB0kDS68
GPdOXET4bdTO2xDnvGnTuWnuYXwb0NM56eS/TkMfovviElVYJNLlswhOA6Vgk2z7SuuhmhV4MYli
lAGVYHBaqSH5BJ7D0AyIPcAbILGPMP/TVSB56djofbo0RQ0TF7VuzDk+Jjz+ZjSL6yTLMcYisGNx
du5qFgv1pHarMQjZ4QeRFJ8eEEKF43EsAAOKYrPTwwHWvIZDLEzI8hJT+VkfED54Y37bG2AerJGA
Fy+rDVj3GJ/wuS1Q73KFNoy31PN/JDkaU94u0og4qkRCdG6RYzAHZEcS8SS09UjdVIIinuW9heNf
XpBN6C8zsWrI34X2gAbAzyf8d5GRx1uiwvK7n8vmf/cPmZrqZ/tH9iN/DbP8N1sI//CvLUSGVCvR
wUHZxaycLeZ/bSHq7FmHs0HdCQH9hy1EZd9BTo+3B+cA0q758PvnFmL+i14Q9BwDM8Q/guNo+tWF
CoeABoMHYzqVNRqP18Q3g1hkE8K2cJKYYMA1sCCr05vXw6mItYTQMEV0gVK61einyUoMi+rGqlLh
IhudoODCyDPjxsfcai4sglOXpBpVD3hZjfGVhDViyALERLJMAmtUzqmsMswafybmQ+hQV6B5KtZr
0luHJhycrhAst5Lkx6yIxVe/JO21lGkD5wEJsJA/mkU3p8I2OX9XMUqV9B65ei5+psfOObJT0Gnb
PjO2UVQpix4euBZgV6qJn23l9ns6INLo5mRavCjQt2efCaG145xemxqagza0O5pzsm1aRb5jzWm3
1UjUMogHBY8nOLPc9BfKaMWOiUZ7Ic+JuRN8SLmhhR3VRP9kY0NTxSRhV5IeQhW9BWvvMSz9ALCG
dYkmMCUEeB1GEdW6iSq2x5tfh9BjTNRIakOGiTmn+xpzzm9j9OE2M1CRaHMKMO5a0am1ORq4QiuO
lpa84K4A+MpjEU7kIo0kXFhs5cigmpDNRSVxOO7y4TKh2CUiUI0vA8HESBKCtTVnFXtoTEckblPo
omQhM5ukjoTk7znguJqjjoGFYAoDn2QuMVSThRwRswgXPSu8W9bWYtVFUSE6TOxsk1Vdh46VlGJP
F8xDqPY1m5TlEaDBP84OUtl6F6kNnpIAWVeQ6S9+Rbe1r1kaMc49xVLjO15TvKMwT0nn8PeJF6QL
MxpPCWZskpvS9wBOCnS85oROcbRTtJYs82ZsW4RoAlrXN1VXGlvCEyS7i8bbIJpvPGm6UgP+x6pw
Aw8axRV17Ak6RVvR8ws0PyNQq66X1UM3pxSNikE2NSD1s6bVuGwrXMwiEhhNsWUEcMsiSpp9VVog
CZhoJ2jiuluVWrnTVTZyIUenWM1HKnNqV0qQPM/GJKQ4EsK3od72Q6osks4ndEP1zCOp666QWj9k
od7rUXrJ2/beE5RDXRg0ZmWhOI6UMjeyzvrOIr4WNPr0KfsJ8gPPc0zzrRGGXZjAwVSN/Rjk7FBR
sCoH+oqctvjMJ3PMaKMj6uyEnSaF+zTApxq2mnfITKznqV4obhv4t5z//E0ZJBswKeu45CGZATLw
PoQFGaFew7/+4rc9b6AenoYu77D0ocMWmi61TaukAZ1srEZzzKp6SSsI7kBiiUR+142QpSV1MXS4
RUxQRocPypdx9GGOCopoY3TqzuoHm5MsuMcGHCJW3nszEU/o9e/1TjSZpFauQ86w9K1nTu9FKd0A
gNoYrblU0tTRm0GxxWDY0V62UUm8BLqygovk1D4ivEgzzzUaLDOXf1gx73CaKG+NNd6opF8u07I4
jOXkCrFqFzxjOJ6hrQI/BVhqd5OILs5LX6dxvOvn+SjF0QaN03nKh1Nq0hKNuLEN+dpIc/J4GJ5U
rAutv+NYjrYM2jbz2qVgoj2fhBU+gbUBOzItorVeD66gzUhYOXzVTQQVwKoEssdjAjbHIj9lhQie
ScxXFDkAcLb+WW6Iwu789UB8UJoLe7AV7piE2IrJeaXeVvKKkE5h09tcYkS1vSZ5q5K3HK3MAC87
MsX1KGI067NHDXBBPSlLSWUMDH2qJ58oZtzWje7iWMFzPdyog3WXRBPq1IQo7Lwn8UhFaelZzEBP
gN8vuqaVvo/g91jhXLgedh2YS90kpN2vgw0OwzXazEdRalDXm7e6XjyaQX3jd2Dw0h8ZELtSFIFb
D4ixlNANdar13riMfdUJyNLzleCCauOQd8oNPoN3SWgWciXO8W6zbGotWN3arAVXDJLbSMv3jSbd
42rhvgGmSNeKWSqzq8XW5VU81pbpSkq9VbyRAUsH1STt2axe5iUKUbxLr32bP/KjAJl42E9rtaCT
DDDKCHp7zEjzzWpsksKOoMnNJBiQyWlkd1WM2oZNIii80gZegt1RN1Zy0z2gmHtuSqKcCmMDg4ZQ
BtWz86Za0x3fiEOKgkKzQPl2j30lPuRVdANoDV/+gNGg5buzHGoEa6PRmJ3GCozmJcuTXQGarBPa
2yQ01ubgnUB7bZDMbTtPOgQ52sKsDd00Gc+FN1vc0Zf15iWqCKOShqeCUsNY4RqVLfPeq/RLXdWn
rNZu2oErjSnVt+2cAkrs3qKCs5RpyT7R/C1eSnHRQ1yp5oVqyh/HuNnJlbYqOAq3+GcjhaJfPx96
Moz32X1VjFtJzncCsYYnwcMZSshIclsTumBPcrOtRBH5SI9bNWbjiQhT1O+jJkVZCEOYS2TzpEIo
l2e4V+47cSj90FMcmU35GFfBRpSlE+st4Raz+pVcHW0KeS8TI7YnUXoKtLpwLSW+S6smwWwcr2JF
OkcxGtDYws2KiNyF87/2Yt3uZSF1QgTOHXh9w+99WxrlZZyALA6y8+Drq8gbtgMZnoUAjr2OXppK
46IBKwMjDNSSznDa1neqQMhsYCEY+1s7TdgkBitbd4L5A8WWW4fiyu8MNxQHB6cp60/NrdofJndI
sx05pbuq0e6g4bDXgFXL0CA2ZHUJQS9sM1llrtPY5m5XSfkmEZrDhDuurorX1pzp0qQOeclw6FRs
tqnI9vfhSHv+oyz1uYdUo50uA05E+GZZ1wWGpq+qCkSkcBJT0CzxIo9vBBAHnw8yl0I/VMR+HkPn
Bq8kKsjKlZ9Vjg+VXKhCoq6pknAaEAyDN2mfhvzdV5YpWSmfj/S7A+/Hka6KsrlHYujkMZJsHgMV
p4whOdO0yfVvUfsc5vo/64r88cF4myiO4AOiQvNriVqG1mJ6Se6fO+G5aXel/5olr//8E3Fa5rDM
MAqgy1+H8FBQiRaX0jPhnFG/aiGwJQG2b38V4oiXmz8yoP7XhvxVP2T+RCSfc2nBU4yhU7+q88+E
H3kUm/AcZsCEFcJX/FURf/GZ5ors1Xz4ZZCrim3tCY2mewwSYaRsqn1kBcvPv7WvPsb85x9mXNdM
uN9gqZ4hGunAw2OijqEjfT7IXF7/7GNcPZoiHuOiS+vwPAjKAvi6FZ5VnAyW8aTh66xPMuG0n4/4
u48FWUskQEdH3nHNw41DEyRsJIVno7yUIjLyZGN47/98DOSv5EgiUyXq6uqrIzpY0M2uis6oDikv
Lg2MG31y//kgv/vqFAOIhqpIioFd6Nfnk/eBYYThEPF8njJ9H3BThMC3sLzbqN2pHU0e74tmyTyn
rh/WxxGvHhaYcWIJpBGCGACDrn4gJvOLxeCqRwaAliwag6QvUjlVnff1avGpc5VAqUFKz9EersaG
zfOAINfRLsGNZmdO6H7df/ndhPj4qa6GhA2XDk3RRedOh0NOKUgG8Cjn68+f1u+/O2TLIjunpl8L
xPSJ+ngDbP3slZYtA4symy++u/nbv346kP2YbYSGzvGhv86HopZD+HkUvwyuvqMpc9p8DlV02FH0
xWf53Tf2caSrBY4bcV7hZo3OkvYWmBfNuy2nL5a33w+h6TQGyDUi5u3XDxNKcWeqkx+fs+ykQScd
QhlIqP7FVve7V4jJ9tcoV48ed0jQjD6jhPFrIpC3IDiViiOitePmLMSrRPviGf3tY5EtZxgwJ+AH
wLqZfZMf11TZ8owiNfLk3HSrsnrudaecbv7hRLsaglraxyGyzucLDcrk3BOzLQk+dVnti6/tb3P5
5xAzDVLkwEOd7dchomFIhYSb1rlOXoVpgz/8iwH+NpUZAPCCxntC4Q38+q8DsHSiSc/QRnDOS1uQ
jtEmJDEos95+flf/rcqqvJL/e1X2Nnipm5e/l2Tnf/VXSVb6FxconQMZME7wJTyiv0qywJ3wXlg8
IB7TnLv4pxP3j7RGjT6gbiJVlUV+4L9LslRrZQ5f/3bo/lNmuXbVsaarB3uDn8IyM5dnTUv+dYoQ
HyZiOWeai6CVaGCgtJfU/ltn6CS6lsKpmPfDGmMo5DmYDiMxoiPce3OC6twNJk6Y8EDb8k6Ns8TO
pNJcjgp3n9qfqGEqazNpXb3xnHSQ1n3Pf0kXXhCPsuQm8FRrsAexPC1AQzj1UL4ERnQYm/aN27DT
Q8GmNIfLQyoOdK9edZW7zWiF2CJyrixh2q6jolqTdb+rqaLm4J4nmahU7vGACrq9Luf3Rt8dexnj
zlip4SqY5JekEl1ZFB8DkeuS4cH2KDDprio8KLB0TGxder0Fmd65plfsGllYWwrXuSC69TpuTIOi
4A0phktG42NRA8vE1C+uSdcQdxwu8L6ZPabHTMoWQmqcLCX5QW5hsRplvBMhQfELAJF3VZK/JwXk
IjHruW3W0SEmLmkZ+uSvZV2R2EFhaLYx5COafNOJhXEbaE229Dn8NFolbNMyW9LDvATEtC4y09pK
2AcXeDcOFJzB2bXUBYZLiBOO3BEah2PaAxE2qWsARhLk7ELjLF2opvUURdINcj0BkgZWijZRUnvU
lbspDZ/irFz2CTXE0CQNSAnDPSfpXVSK73U96WsMvkSGhe3oBLWOKcZTLm0TPAQRv79Pki5cexJ3
9EJdtzrQoyJTVCetQdxHMWx26uxARDij0sBqJPLIQsYRhxptHdE7eUZDeExvhop7fE7k5GJS2pXv
o70rM0p3Df6hZR/x7xIFkK2UxuoqzdsTgWYPmuTx3GtCeKWhpAtWPEFh3cMM21ehFW4EvNO2puMD
UmWcKxbJdHYqKPS7GrKflPyYBdYe64fBBRi8sl+HR0roT3S1QwAKtC7bkJArNbP1nl8U8T8q3qRb
l5J4luWaul6frmPJ21V+u6mz4r4VulVeZ5RMclfVqVdxbgbzUnfgcvUe9EuCU9EUu8epDN/qDtJ/
NKwo1o9graCTZPps9eNTjcY5L3ua0VZ3a8aJ24jbEi1Jd/CE0B1FC6txdpK07Cx3+Di16SS0OgD8
sYM70yg/0VhtHkxLecIUqUcJXPc09KARBt6iJEY7z/ihiPxJN9LxWPZqS8FS7N5JL43BsirYRov5
VYW+NEC47im3GtHQYjIsI3uO5FtJmbYJJNzKk6em1UIeFXCsmYVxWRh8EJkKRSlKXK4lmIpb0Tz0
h6DZ5l4cAS9Xf7Rag6EKbkuudI/l1L5ORh9hW8FZ5Sv9mXxVCFahDhq80RvkeHKHw77N5Gon+0mz
Y+0pl5FZEAAwlNDiMxCSWpZGuqu0eHfvSZYmxzVQKyJdVbDxuEcyUHHGQOar+TP/1cwEKMNlB7Rg
TWzEiAVboeBzFLJ0bG//yJbtrUpQdu3QIinWsiR4rCZV7k7kCq1zH9xXERF9l6ux6oahBpFUnF6k
yr+pPYXWbDxsVTVr3UqowPUL+k6jK7tEd0GDKdFfyzyvKevo7NWR+hhz9bEDGsYwSyZ9q+RM5jij
DMxfR82l5c+Fp74EUSUvGxMzPt7ad4i6+HSDXFwghKJbI3ZznQdaASXbw0gFfggthIWFcFCz6iJ4
7S418+cu7N8nAUP7ANK8lgh28wvkFrUybAN8DWJPzrNRvIRxfqOTDUsbQ4P7qUtItRsc3HJ09Gpr
L0Qj/Rb5fZJEfoqvvcddCjM9XArTVh6HaKlqleP51U08sPSIARl/4H6TXRIYBzFOsGQP+cxN2gSK
UtGFRnZJJCB6Czk96kaM8V+zfEeEPi2zYy57Q5uW4dAesFDsLA34DN9CQfRPSbx4DueETj5ru1os
cRIZzoTTc5F5wl0TLyfNf5ArOuQmLmZiMBCZmLHVMzgQHSu21sqE1XAaaPQpEAmxBg35KR0KmmV5
vy/MBo+oCRjOl4wTBe4DcKgUi4d3sjK6cGm99tvmRbf60SFh93ZMhNKZ0hkNa7GBaBFdl5bbeNtn
D3mSbyMh5ndsp0dsu3AmWqgvcTPlC02UBbvKm7fasu5ZoF2xSPZxGlCY9pU1Gsv7soOcGhqDjUd+
U/bKuTOLG0vLv4dsdAvJEI8qqgAMpp7dZapH4ohU2ZpYbXww0Ky6RAnKGne0II43ljZilvEzOzLl
clVrYW/TVIRr0J5hhbiZ3HzrUrIJ4hK5Q0t7c2zVwYnFtHNEySwBVXiI63z+1OiifKlDrssEisy6
DICr4QulXp+cxKKOFqbRbNuMuPlSt7ZGPdzDoRAdkASHmCULkvXkr4Re2iWZpdtjDx664k3bwQI/
6xIEJ6EuqFpmIuoimfRgLFlQcZTSA/KrYC4Lz+Q9fhMgrbrklGTY7D0WOK1fT6nMK0GDRq5wbBFJ
RgRBPrxmuf+AsvtUZ8YrPk3ypUW3qPXHPPbB5xX6slHCjZcWj2JurhW1uu1NeYfjz1YILLTFJKA+
3b/MPevWkN+seNr6bXiZJIMIgka8zdR5ERc0Ujuq4I9b0H+P3bOV+38/dh/yrHkjV/PvB+/53/11
8OagPFvMidimVjATa/5z8Jb+BeSGW5euk9XzMxDoTwSOTsAQvFyu/RSh+Wl/CiG0f0FnBaVD9VPW
uej+IzGEceV54dSN750zPAA8cIaI3K4uzGmRqFSHTbTrytS5heipSxxqTwYSoNxoHyAI38fTxZs3
71Jy5NLkaOXfe8kU2/SMFda1mKiM8QAJyxdelT6+T/Hu40mrohXAl+96g4YBbOSmSKO16GeAR9sc
eUXlsaUgcwIO+ixw0vwuNaxZipf0TgRZA0x9BI260tcs1Nusp7gbKcFDSscrG62nia5YUpgVQUDl
yxjFFytQXipdehw6DlF0Rg/gg3N7DGLgUmW0a1ukBhqehodRNJ9DAMm7rMAvKvWavhSL6D5uk2dx
NKaNmtLaJBUcdcK0nkr5uavTo5VhVNGNW/JtYsx9pUUKnRb1920QPpmhsO7F/KGuBH9ryMXSqlU7
zbqjFCGtRbY/jOFxRrCVI25xLwx+5EC2yG6BXK73R2umjeWhvFFzF70IiBNaqvLtHCpH57iJn0qZ
gzW/4mo+6iIM7JaJSr+PwzeSrEimp6V6i1yraxSA1uwjxZfuCXsMHP06b4yObLnW6fOIzjP2WZH+
uKoH4HGTZF3myY+KjsuykWuEXpW4qvQpsLWuPY+mtRYj+qYiaTirIKN3HCKvSDLGS9iRNW5VllF9
Jw8kJE2TYqU5LXN6RQShcLBsyRJoQpyw1jEt1KUeEX0OaB3aT0AAqLFky8Qsq9KJTkQN7PTMMfPp
LnOU7aRFEhN1mRg1jsuwSe3QKJhsoYVsIQUb3hgvKBbYOiCetjWNX8ixs97m0huAOwyJKnOpvI6z
71Yto5tMSiOM9tVKKJR7DShSmSaVQ33K3JeCtEnM/FBEwzNg329BXX8vShN6aT96y0nXiTSIWnRy
FUDuOGo23djky66MHzh5z0hxw7LDIL3AeFLsuBvWqdTkLgwkLgmj3i/ifKPIOKDBA77zPHZ5UZzU
KoBmKK4gDtASp7dedKhZxkS5jUAdwXXaNVJ/yCcZfXaTbcHj7/Ghb+SUXN4EyhGG9e9R7W+swCfi
QeYAbdZ3fR3eFq1wTy9nI2b5tiVXMNf1TSz6J2hxz1md3OtxyZc69XtVqXZKmx/aDsIuDeFLknar
weNOxTk7m/p1YeUbaa6ajeqaHvfWV9EDVKOyK5J+19fiWQzUxG0BKnl+89gbAXwZdXLDqjkVLWdk
mAdb8rButLDYxWG3xsnY8gnTligxwlTF6uAXBp3+DhXQCB/Pl2/rvH7ws3LnDdGhDTCO++NNBu4F
00bwECcBe1b44MfGSvNzrrihuQH4v9K7PmB2NAclIysIkBj6TX+DHu2SCh3kIbEkjqvakCD2SL5Q
Yptikiwtub0BmLRv56wkknqJRZvSR8Ska6Pt7GJslvIwCXaLeoeAr+fJtFa9gIrT6t0k7J4y+Lu1
Jr5PNa6iEAXnBGwvFKl/L4yJ8/mNTOCdnZh9QhBRrrH2cVHfkipBprSe7Cy/3atWvBmaFmsYl9gg
CE5ql+w8f+wXdH4PPVcWJ7Sy713YEM1YJXAsrFWZW8eKfF1ofYOblqIEcUj6FkrtfpDUByUWoC1H
t9P8CBVT+15IA2+j78Dl3Um+8DCI3Ukh4kyMgdXrBskSY/8iC6Cqw8JH+VEWsAF4FpWkuVkLA6M0
0+dCUQ6jlTY0Zqt1nEerOCt6grGkb8g5tmXdLYIAVXQtXDpQn7as3uF/Izp0+h4lxu2ECHOfaWWx
EX1Maml2EGZutleCFpu0Z6nQV4bsLVQFaGTUECvdV4O8njPGZNl/i0ciWmiyiLvRGPeSBMZfkqBi
cDlfGaVWgVwOCoCnaEx0X1zXaftY9+FtmU37sfXvvKpeZ8Lkk5FrfoNVs+Iz3/lj8tCUAf4H9RzP
qCWxs+VI5w4P0kpT81Pf+HehOBESpndrgZTTZjI3Va1fpkRaV77FVyOdhLLCdYOao2vl2xihKsdO
yhNmNYuNpf5SKPqhxkCnO0hf5cRp+zL8pqVhw+KvGzs5I1wrNZOZ3KAv0hJlWWgCFIonrvrGuNAr
PhLC3HU1jCvDzyw4MZqJ+qnLnEkICSTuoIT5HQzMrk2/d5zmiUyLOK5PCMzA3C4LQEsDQjctb9Ze
QH7CMN+6887qtri9U5id43tWEavGW7yIR7JllaiSFmh2TUdLkocuJz1NHPU5jwvmI9wLQ+AeqBNv
mvp79ErFKSul5jGSDM7A2lQJbmv22qXuM4IBzQnhYJ+oJPIgyJcQseNQnyRhjzZxS2rxWTZjVx0i
x5Cnb2np3fhArNpSpmakZLacmGAYpPLR67VoFic4lQSJqYsHrsrQLZWm+d5FrS3F5pPqKYeuRygH
u5IYbwgOJFop9R0qmXFpGsELK+s3UanWKDtPoja8eZGyAxyH1Jg0OyZSbteC8lhM2s4I04MXJoqt
GykELgQaBeqSli26GlFb6ZV3ikQNKkR+09SEzqFs3xS+vteGcC1VBKbHxQasGogZMV6GBvB0PVIu
Vp/eNhTTunwcl2mW3WWk4FLhiXdi2G9EUThYqmRzFFrJQ7lpPCBrcbDxjXIH1u5BVxUuHtK2Uthp
FZPE9+LViyYniv3L4HFSGBH7TF7gVCBttbJ5S6kWCRkhfky6YWh3rZW8kvVEbdDKNrkY3lTUJHWZ
3DM1GhdKSu7HIN7Wc0JZww3JHlEkjYbPBbV3vQ4SzcxJb63abSJpnbbyI/0bO4mkwSWQz1ZwAXC0
KCHSJSWre/yYYEkkOsNf9LgYrJgWT+snBEtH3yzLWynmdBY7uAdxI92NPRaDqHjIJQBoSkqctNCF
P7wq7+whIlmxCZQjdMKj5yvPg9iAV4sKkCzGKqJsZoWi5fq+t+vi6a0YtWNTgCtkfW8otDJZ/LzX
uCkb2JjGQnK8UTdPuZRvM7V1iG3X4eiLl0QV9mTKzdEmilvXqDw9LQAXXKP4CEb9SeuRUlqsNAhj
hv0wmOjZ+vyBoMFLIehPshx5bhGWj9RuCbPQWzeuO6rONZ/a9KS1NS89Jao74D3B2q+SyMZgcSgQ
Psa+QEWMWlEh+eVSRhG3LKv0HXcDqXAj1VSV/4c3dil1kGfCoVglU7rpDeRwFKT3UzXv2pr6OMxI
oAip/rIaEKeVo3qU4vAI9NaGBxZsjGCq9wWCJ6pQCkCHxN/2lXex6uQJEau6nl93nVADhK3s5jTO
lCczAAdcqBepH8K9pWRcTYuNX4h3MqkwU66JqOiofYr5UkzjfemLXDTVCixx+k4JGNaSIoNIM+/i
Jt+GZO3EHfiApB+cWm4eR6m8sQZqIllhHCPJP6awlBNDHXdQ57+VifWkDsoNopJ8pylR5rRw9F25
UZ+m1NpYoDRswP7ZKuv4wUIpubkUAmTO1G5NBRHFMwJqMqbUVFRuBymSuUZUlaA6ZjKqcmTHii44
shR60z/3AFs6CFMDyAd3KRqbV22LUBQHWc7CU1TQz8oO9TQsLPX2w7Xy/EfP96Mg6ap9BiBrHkSX
SFijHcFV8tdBYm+oFKGuQwqwGyE7iALFB/Wu6e8+H+aqDfjHMMaMQKAbM+e1/TqMJ/4Pe2fS3Da2
Zeu/UlFzONAcdBHv1oAk2EiiqNaWPEHIatD3PX59fUdO5ZVkpfyyXg3eIAc34qZtESIJnHP23mt9
S3WpAlQO7vrTUFwrxm90VR+8PjRUkPmQ8/m43n9WjTtZRWFl6SEfuNG2js9I68/q+4OP6aPXZ8rI
J8QHJe0Cb3//wM79mQ5KdnCoO8wz8w8q/1/qgOSU8tVA/pfP5913LaxECwkjjQ5E+ijZMgFNDTcV
0tdjGq8+fysfXArwDEHgDuIw6HTvvorUCdR5mIvkADAIkVurLiCHBWLJNgx75vNryV/73dt687XQ
bXg9YFa1KGPKlqaH0lgSnWVSd7Ur1tSpX39+oY/e1Ovv/92byu3YRRv280LgDXMiM8M1+4jcisvf
3Gvyl37/plwprnPYHQ39mX3ySuxkmLlesPHmh8ZY++ldP3qmf//52/nodnt1ife329yYnJUwbR1y
5y72b4XyP7idZcyNDVBO17Bjvv1e4iplEMGM7BCzAhpE1U3/g8ULP40K+NjgsSGf/e0VciXnfG9p
xWG27wb7tEPjqba/Wbs++tK5iXHFCRlUKa1Ar+8uovXKHOxXdkA2jIHBwYxsnvcg2wjMNX5zJ39w
LUflbeiazSSZ/tPba4W+Q5MtNvNDKGtqL5IOCo/+Z8EZ6+L5y/+n5Smn/38uur/4hw8Q3YLHDxqe
/NRLw1MjzJxYehXL7/twdM35AujbhPhtOdwQkrj50vA0vtDStEwkBY5DO1ICuV56nsYXg+xQ/sfL
migw9b/jH6apyV3w76WBbYfbndd32c50pHbOuzuyskinGWzVx8WpMT+a08RdaiToHStjpR7ndsOw
SlGnDrZseERW9q0TkBdd2vG90ZsaB0FzsLdWSN/EqwzgeWpZld4I4JikAyssvhKfQYgw7rcGzByH
UKwkkUVqdAkuj+jn6LHtVL9e67kZstj2BSFFmGHpfazDLoqJok4bXWKPBCmEdYz9Y7IVl3nQtGjk
eHORRCVD7RgiJU6y+klxgpHIKACdZuRTlOvuA2A6SsmJHGbFiN011hvKgCnAaVIjbaeKLefimDbG
fp6Hc82YwY26Uix1Iop0B7VtN3JSYjbNgJbazVwWTd+t9EaEJ6UATV0qZzF0tIvSd47bMoyXVuDk
S4geRMk1Rb3UlSHxJiuOF3WpxCu76g5j2xyUBNjYQDtpMVEZzkUxeGFgW+4itVpCgSJjqp8So72M
UvVStbQMqmLa5mdKlcx7QyT0Pco1c5DwhgDUpd06Sx9uNyJwwhuMInyyG9KV9JISRi9AUbvdyp2M
7FKxzGFdOlRMNojOVV2TMlvxdkusfjhkwQUTI73StTw89AH5JVEZA2Q2qXtGhTkj7HGXhIxGnSBo
uhCBS12jL6nsyb1c9xYg9qkrxXXjgncIqQ3rCYiuCkeUBjXDONpkWKrt8tb0O8lmVihfFjmAymUD
13fz6lE8+3kLvz4m/rLn8cBJLSIoe1Z1Tg9vl79YDQcVhHF8qgMaXRvpoN+FE5/TQHDDH6Lyf9Y/
ia746/XvIuofqagfPlgC5Q/+uQSKL3K3g5WgonqV85sXrRWLowW9AIQB6w/iUc5ALysgxliICixz
ABSEXKFer4Bos4AxcNv/4Yz9GxFFz0LitwsgTVCLkD9qCiLV3uvZQz2nbO0MfV8XVVXaJ0qKnYeA
YqE2GeNvEScHt9ONhF6hr9HmHLp5rU0Tc3aSAswDLrX00BWVQqrsqOxMMzf2HdKg1aA3+XFG1vPl
ZJDlCZG8PMmjtrhvg3Y40rMhuRTaQBpLETOqaEf7EVap2BbC8dcaicZgE7DMfg9VVm5aAkTA1gM8
eTfdJLo2rOY0N3+QP6M9KUY0X+iNFXX4j8A55BOoX9VxedSsajXqsc7UGlRxBCPrLMs6/0pHTn/R
lUoaXqqxmQRwaWytmndzGfq0ediTyPHU7DzQuSAkXNxlPTtZHa6mwQF3ivGrP69rzRkAPta6WPkz
Jr1T7F2xl5lRFV8r8QwBtOoT28Z5b1VAhmuDOFyzR7abdB0j4T5rvZnTy8qeidbBMOS0JbkPch9Q
+9o1j3u5RfjPu0UmNw71eQ9RKrmfTFFuGASzNfEO3LDtropZXCB+6+Hdym2pYH8C5R8elRYGqb3J
NGkHlTLqL+bY0dYTs+vZgHku7GGfuemUKz9Xn39WBHmA+OsVgTCU/1g81vld/fChLV7+9KtlQTOw
FwppWzHRKb9ZFxyU5MjzcPD+DEp5WRfML+jmwaeYNqFzFgLd1+uCQ50uM9aJo+P09Leiyygq3p2M
aC/IqE7bxGTPqFp9dzJyR1MpMcyHp0qCssWU96tD2tTOkvdw/3w7t1WLP8WaFG7zIJG3vD9UTXzN
FDb23OeHIpfPR14Rk6cuSITtz+nC8wh1P5+nYERSpUMQ6WOeternk2eAMUFV9PxI8vDXPJ/t88Pq
oOxBdkFoI9oF5uho+eb4KivS/lrATNGXaaJietbQskENicN1WaYcLThCbSFU4GM1O/trjiiREVTc
9l/LDIAx23s5T0uRE3SyVJoqpz9UOmdG0pe3RlbFt4pZmluqshY1YZ/6B1vVAmeROnG0n5sK32rm
I6RZOpHlL91C3+WBmi0zI+5ozdjZqW3l/UXGWZCM20QXzKjyftspvomssXK+62BA5qXbusWMmbKz
oPM6yPyWMX6+C0VzECvObRZtiQie7zNdMZiHianJl5PK6IPQMdeMSzk66ZgwOr3RbsyaL6RBhaT0
t0xrNM1LeoC/IsZ7nnssfaxWrDz93JcM4415drdu4PDPprIONrbaztgi+/i74ebNuWs3NsnvlsbB
jCPfVSapz0ZTDmeFwqd5litBr3pBo5IwHPhFV+1CXev8gxPp8W3C2fVqdLu0I7SpS+LFgPIq3apG
jhlXcUo/3lVwO8ajzMYt/2gNTvDoIp7YMIHzmbCFBS1llz5xo5Bonik0WBInam5CQyvrQ6UQBGCx
eD4/sP+sXAYLzOcr15p67j5q7j/gecgfflm4SAYG2UE5p5o2ejq5BL0caHTji6ZSbruyQKNnRSH4
snDZX2AQ24Jd6s+feinpOAURGWw6aE7gRanEdP6NA837gs7k8riLMBfIFxXyTPW6xWCmqurEfj0f
5vZb5fiL7uUO+cvOn3yFf5+YHByAgtdAFQCwhHVRanheX2EufascS0M7NBilEG4TDLtozIe+3776
Aj44wb99J79eR57wX3WtcEOXVc1o92CW/VKrTwb74fMLSCHSp+/kXQ8z0KpcJyZBO+ijvejFte0+
EVu/dBWOfL1HVb9s+tuy23bRWUsSoRY9sqgG+PCL8za/DDiPtVAfzMBzsJAH4ryLL4csxPub/eaj
0GTz6bPPnBvr9WdhRIqPE1d+FobHcgt+6lvXR0uSIQ4DQ1TS7hbR9GQrOopxxKhWtPz8o7LlBd7/
AhhYTYvzJubrZ7ztqy8jp+xve9WeDlMfQ4nR3BrdI3004pxKRuZLN1ZzRA2Oc1QjFze74UJLB4sV
j2z1XlXmZW1W4UIvOU6u20Bm1rRdvUkzIi2No8FXGwPYRaxdj0YWb4zEJUDJByCTk09dEwNTduha
+mqttdOqbydMA4feIm86QEvD2buz5g2jn7NMP2OqsfaZgPuE7DVXTeDsDWzgNRCSnrpPJxGbxNyl
TZDDFJerBN91iUTZAmYzc0yNJo2w5+7EVjNPkuurmwYV74R9sxryY60V5zCz4jHb9LRUrzMzXZQG
OQKFe9UKawX+C5fiKJsPgaAZju9CdTLhFUl6S1W/yDIqYJcIE4k4+A3i81fPyNsH/30g+BBR7LZj
Mx/UjbH1d/NJ+83YMLM/4B05abdkL3jOyl0SfQaS8whS1mq8VXbJut2oG2sfrePfRFe866T/sky8
6z+KNO3sTN6yRbIjAowEsRo45xqUwOe35kd35uvl6N2C50TZnIYh11FAcl2ND5WEmyyFvuI88vmV
NNkz+OwheH8k5B/Xhhvph9BYxmfoR7pxCd1taDhWLIMD5dDnF/xoBaR5yDkUkiAV6rsVEML6aNup
oR+GGI7p/KNXzj6/wEcL4OsLvPvs1FyexgJdPzT9qsMLMyhLwit/8y5+d5F3q6w7utaMY1M/uP3x
XB211pVuff/8fXy0Jb1+H++Wx4m9ml6WqR9k/MiYDoyhL9z41AU6/nyh/+3T0T4i7aQpntr/I1/5
viinOgrC9r/e/idRyn9cWLaW3/wHzBW0UefdYz1dPDbkibycCOS//L/9yz9gl1dwVP71n3cPOL9X
UdPW0X2rc5p5vsLu4V//qdF7QXDLZ/b58eiki5r/OPyImvKjAxI//nJAIpMaQa6p4Vujz4Dz4dUB
CeMdfSDgZa5K4qq00L0ckBDzgkFDz8uvonKz81MvByTxBZUvP/ZsLMXU7vw/HZAgsDmmg8GP16OD
9O4hrnX6mVSWwQEZAEQyuEm/Y0wwYH27UDAcdQyHF8LkzUHx+Rz4ervOtEJ1yxTaOjq9XR527pq5
eFyv7Wzcj8ZoDZjmp2Yzs5l6llLCdtJax7zUEeOS49u61t6ubZcgu8Cv9l2tONUy6wyr2luWAkRE
NGh40epq9uw1EAeLclAJbANy5THnVzcjZeWmRrvkDUA3NnUoKo8MTDZWq6Tj2ltnMd0dsA10uLoi
qDeREkDhCuqCdLk8Y9Z6mddz+JRRJa6Nn0oBp1EV0v6eFQRuyn95WikyzQuFlBm0z5KDshqr83bk
t4gAKs1kBhKsE94YpXYcjmG9UHFdQHJKdkZfbRizngydpS3sVjntwv6rmRhXldtc1ui/grz/aplZ
zlGmKmjyi5OqFl4gqhN0dnTlgwRZJmGCwWgdD/S7HBUEXR8UIOootFWORDPhebVJ5GQco0FMbeS7
RXUgajDeQoc86Ua4y1YyHYcluC/hg1dxUu0xTAsQOa6L88GKoZdhzA6EQdLnOJqb3PDn42oqj3tf
2YxZQqpuFGyy1KxXQEyXwVx61RDtCdjhkGag2w3wGM5zvfPr6CI0q3QT5yZ+QbJ/6lkmWzfaLm/G
2qtD8gLr9jg0pBEQRNP91CcNWluCdlTdWo8lt+qoRZ6gzqdyzAGj+LuxrPYDISILDUwRWiIMdDhg
wITF5qUppgIDp0CgmZNZl/uuTnSzaJeQU/eV1StMKFCDJgjrilR9FFb3wIzB2dSplR0bLg5oDChm
dF7mTrbSRhGZ6MyA7NiacuQmsbZpHPU+UcLdbCmnrWZft6GySUPfWjgThqLEWXYGEO7MOe/zfO3G
+iqufU8qVzJrSLYoQjfO0OqryuCDN3N726j9N22GEVgS/GW77ne6J3scQ/gP6/GIquZs5kV7Ld9n
2EFngV+sVO70RnvEx7YrxHxi+LhC7a+j/71w5iNkac7axIFa2+Z1NYP67scffQeeqXWw36DZMfXp
LPBjDctIQv5C4t6mgX5rID6h06qduCLHZCQOVbgFNhcuw7kzUPhVa8K1r8isuxak0owBhwAzDM5E
j3MOdABleo9smSMPTVIGRr32tVTCK8fJrpVS5rAPazson3R7PKpc5WgcwQ02sXVUxe4mtdIOHw6Y
0kLrdqIT7YUY4iPenwy9+W50JDhPBsUWkvtwrRslsFQxJluCy/TbYnDsm8YpIlxa0+QT401q1+jb
cOvGVPMEyMAFKvFwVf1M1pRR7S1a5EonCW2QCZx9aUannZDG1LSWEZ0Y9OQTRoYfBFeZ4unIPM9Z
JnuGpvVVaXTL6wn99GFfeb7MAW2F23AzQyjsZUoo2YrBMtDNi1bFrmxUZIkGPamiGvGiCAEvM5k3
CmuwXPQygzRxxY1FJinf/KrqlHlly7xSB+Xx3pcZpuNcRrD3ix8C6MPCqiaSTrEwDcK8UgMyUJt4
gttLLGos81EnGZTaFj86glNjAlSdWCfKjkhVyQQ2iFglaY/mWEzqZPtk18MBd2a8DshMWxhDeqvH
3ZrO8vdiorpwGvJbtUq292JqviZ3FjFS3Ia412mKlkh8vbjSHzKrHTclOrk47297w0dISx7XHHXf
G0yUJVGyVTKsdaJlNSJmcUl+M2XmLFkMl2M6neSE0baVxgM+xN8CTH7RwCM6jvue+NpA5tiqqXXR
EmxrNtbtGJqnRSyWDsG3AwG42oDQzMa30guXxYKQXL4NLyc0FwsrzBlidClPTHqNaGZbInYDmbUb
ytTdmCRYJnh8gjKRN8jtK0xsR61htUvQVbfsBMf4kJkDR/kZkuZ2W8QB1leSfg213ppE/7LcrJRu
RHzOu89C+wTXw7YmLFhrzVu37JkQFMvSSQ4GocJJJhaNTBnO9OROcZQVSfXbDjn+AkLknUowMZ/1
KpJJxbRUjgTRxY3MMI4FuGNCjWvT+u4j/+8xD4q2v/QxUTDfmdeNzEPOovBMJSDZV5lWEr/+XRUx
tSVeeZcw5YpQZUJD5lVCzDI40WoLwU6Kqo1VTBRzRySz5RfHqsxo1mVac56p2qKQCc6qzHJ2cDR4
iVPf5GqIlU11DqpMfh7yqjpuZBp0K3OhTcu6j2RSNAge5WYoLe4XmSM9qbQqDZktDfDUXunPgdPD
pO/JOPqblB6pz4LHojPTMg1oHO/nWlpialmGt/I0jlFUf03cH8L8OeT4y0bQu4P9L5eQ5curnsDE
XWwlHZdQKybs9qErDwB7Xh0zz34WV6/HuO9O9n9cw1IpfvBmgSJ7ew1d73DJu1FwUOFeOjZdLRSo
V9BKP78MPbvXld3zZZD5AUdE+SNnDm8vExQxDq6kJ6YCc0JFBF+DCluprjtxJl04VoMQ3fypyvrf
riU2j4XE1Tdva4f/n0sJeeD/pJSIHgGA/lqAyJ96qSAkdZ9uKPgVB33MsxfwzxarBpDf0Z/DY2lA
vlbNuF8YCoEy5twNXv9NBeF+4UV0KQgAHQS2zP07FQTc5je3i+Rz2FCTeS3UocjpflG7GWEW6kWk
Hihl6L5lM8d47XsRPDCrnU1On7WVn+BlkPNiVz8ZSv681u2DpeWHDuUGe+hF2rEvNDMnMmXcNEl4
k0NUZAJ9YeTOvnTRaDT2rWYJ5jYjo1I7OW5NtvMApR1m4+66HPMrmm4A2Fw1XVbYEFaImW+ZmGLK
1o/NiWGsVt3NuMy0eL7RhUIRMbYwK3KPLcdeJnO0bTp2tTifb7TA3g5oNpYkXp6NdngbZ/n17BQn
blzdMEHP4EHrTwr26KruvhIgzY7YmWvY7+vZns8iFxgF72xTulgSYDAQRdpaeBixxtv+sGuhwDMV
d9hd4D5XyrpuegcAhvO1GiCYlBhudsBRNbBe4jhWU1b7QdnidCISm5Q8BkYcVMVI9HSPdsi6GMru
Ymqz+jo1p7u0xBRnVc5REKrf1Mw8duQ4plTHPWYECMOBrXhmnG/bXolRocAPE83OckHGV755NGkP
nJG/B353PTkmcCkBhh1gyPdEJeQ1rYw9yuxHw6YJzRp1/TycG1TRLxXhr1sAs0yRestTx2kbN9OG
sFCv7KMT7HiIVINUrIYpiC1cOhRT9Wk7tuisfDsuNq0ZmSNnRRDMsyjVdlc4OE1b20XvrrcccapC
rQE8RILxVdOA1LhL+2rYxa2pt5i5YYguRmOYsFjqBVHAqQhXQVhV+FDdfdZVlacWxn0e1hUR0vTD
DIFUmk2N/zdw5pubexLuxdJNqif6vmT5ckqacoIKbG3qUbITPz2X07Ft2KdKqDvLFkMnxlmgFEp4
k47iNndGGJ5jj98uCemaYz4RlfkQl80TbIHHua2nRW+nXwNLcCsYxp4ISUi+1Nx1rkRePLSGJ8z+
bNQNImLdZCvC+tZJzHZtKCJFo+rcTq1OPKygFrPs4aFx9GGBc2TkzgEwkkeNs1RjN9ingXIa3Kb9
Kg+CIzT0D2JEu5txv3CIN5P52MrzTVyU5yQMcOhJxutSMBC1ikAWLQtEp0j3VeubX+IYN/kTRxu+
BXN1HvnpchKwmYfmNgcHDbZfgWtq23O04qXGhUqmhoKJdEEQ8EJRQuLS67FfdAPfOGXZRTcVwS4J
w+PZyk/nugQmWj4heamXqegZnlRTUt8/L6f/7Cuypf3ZvoLdaCq6D3YWfu7PnUX7wnSM8xxZksiI
5Jzjz53F+MIwj9bTz91DNsT+6E0Jne2I6GKYhyjJkCHT7/mjNwX56TnghX4Ssz1NpsC8tOr+ON3Q
5fvLE5X2rMr9d4tZ7iwkBLCFSXM8slCLTt3rM5Xmd9QltVWcjbUK4aEXw0KUAgOsGLahDQqjnybc
ROrA3kNX71hNM6hGFkYr7LtqcRPBpd3TlhoXjWFUwBItsTXHrjkdEr98KFtKCTtleQpTG49jgPqT
WGQF33UGheisqbP2QCyIuFVUq11rPkIsYsU1bGu5n58mQek+OEp4MY2peQg0mgE6sR6b2bGy69aZ
TB5BGxaDbnb7tgntHUHIzLDtjgASzZyKr6RyY+s2Gv2xMLv0xlTTfBuYDY9y6Td3PRIxwM9O5Nm1
O2zsGHkUjaHyfMADk3Z4nIMoKFf9oIn+AHFX9PcYO0NxrOF1mMY1ZXe3oYnQKY8icOMQwGvaYS33
m7w+2CG8IjvQxhAsvAtmZOjgr81QMOzh1HGVggZRIMJRYFSnlmaW0JcDtQluoejYUnLK4qhLpx/4
dqvM00nacCt/vLWG1LhDAGIWtLqsfB2EFltKZ02X7VDMd8yaaKvneqQSjMy+EgWau/HLPvjBnRQt
1Xye7/wmnB+xHN7USrXOg+hIsYtmlWlAdQazhgleDgHxZVo3bRJKapgb7XSSFGO5Mls3gR4ICjzl
oBFE6yZrDXQkfQbZKam+CTtKd6mrXRsQQralwjE9VId+YTo1eepxY106hLDvWqV1r0u1sk5Ht1JX
7CauutBbEyQqHjDwR6n7Q7GBERtpC3l7zA6IqJRV3fbjpleUZvSGtKraFcbpkhlk0eym0s8vwK/h
rAST8z0AvLGaXTu+HuEKndixiEmMQVui+Tbs0FnW0slc3M7dqBxz8wZY6tDMxUHt36CWH67zuMY9
WozRpYIL7Czs03qZIxNKV7kQfUM5iYi2R9vRQiwzm1WApxdJTm5a6MHgf1j9QqTGkT0OxjluTsxo
amFpj2VRzusqAu7vlg1AgYHslX/W4udxgfnpGf8r04Xuo0O+/LGXpRj9O718Ts8ohmgcSrHEy1LM
BMGU0wDO165UjVKuvYwJxBdXJVqL5RZj0880lZcxgQFbROhwQgzIjc9/9W7p/WwpflvcShiIHGHg
nMLOZsrAnbcL8aii7KnrvDudAcpw5pUHb+zJ2c8b5K9X/OfS8s2K79omEljk/GB7QUPKX+RVFa2l
hGtbsShP1c50r5OwUiySLdJp3qKBNeul0ead2NEwmS9jnZgLOvriW+zYwW1ZxIzboe8da7Z84u3a
HM/CybgwpqIH9zMFdoMzNG6M7/1YWc7Z4Fd9v4414uh70UcLK1FSZotpg4W+LAvdK4YU4z9tOyRm
UePnN1EyuZ7pzLW6avJ7MxXDqS3K9IAsFKCcViYp2ew+4QsptY6SMmRY2NFQGAe118zkpE/jQ93S
5cP3Mi5D98zQ1Ef47A95FaxZXK5sOjA5mA5TsYqNDhaOjNjIczlZu5lnjtnOn6ZqZSQkSzWEGqRT
9RQ64cVc4vDUy6fO6C9TLWBWL+r41k5YN2V08l6xy/q0akzrKI1ciimCvuZZZ4aqKMaTIKplK/xQ
PYUoTwBhj9qObo3Joi7FAu4ppH8EtrrTr4Jo1jdtbl9PmnJDUnm1KuIQx33bBjr1joE2K6CT5emU
gR7GH16ixZ2fWPV1LVpUtJaThxdN0EP8s7Wauksdb0RKCjDOjoIKL+nqlVBqsHLmfFFZrXMUKrAJ
Xp2DPuih6L+Uq0zPOL0w9oLPanBbv73FoK1UQQAf4LTxsruhXmiX86W9gC64JFVsC6mJwsHjYODV
HmmZR2JtePrWX/52EMwT/bbLQsK2DMUDEIyKBEvf298Dk8bQEQxRnPp6cIQjY1wmAQkJ5SCAd9mJ
61W9D4ROt2qKakfdB3btH2l8RwA7ICDa06nrq9PC0efvmMnddUMqxLptyzWZIN9tE9M7uJcQE8P4
rUphzuk1GRx2ExurcfCBb4VoOUwywCYDkIUGVgtjR4XgWiYxbGcDz7eub4TMHkDYKbV3YkkE2zYG
qVgYuHsLMt6GITjRfbbyJI+0FS5+VB1xs+IhPh1G19hUAZB80uKvA0J0wFntu9FRpdpvoybcaLZb
wdNT48vPv+J3Ygv6V2jOkGSxXiKLNd4rBdyZA0mZ+fWp2qOfYSEgN65WySSIQs8sqKJFFdCT+fN0
/dFdJVtv/164/ohffXXNd9+mMnLW61GPE/5hYOlg8NAFxWpu7K3IAFtXPsg6qy4XNiWpmTYtHNN8
wrTd0UZVzBPCKm7UiDNY3yhPPmw+dDh7vbDOVX++N4PqewbQaFWhnT3+Z0/+uSejV/nzG/zFrXb1
GN5lH/TdTH7qZUvW5XgeJi5o9xf94suWjLRRtdihZNAA3TfZEnupjtQvgh3MccDl4lAypffjZUum
JcfaY8vqiZVHUFP9nS1Ze3uby+oINpjs4yEtcCxLpnG+3ivzlMIJnoZz6N0waVaxYVxjOt3Gea4c
dWngIdDCqiVBen7f7cZh0hYF2mNP692j1iTwA46Ltg7i6cpRimrTxRkYOC1KFzixvbgr7wN91DSq
gm70NzCPOmVlKN3XhpS/iykjXcGqLf+E3AhrF4/2yqp0qF92X+9NXXSkb+nherS1H63fPKmEMm7L
IT+tdXj8S6toEg8y4sWkjefQ+Kzzil4DqvEBjViakzdLDSWTyWhEdC7KZLd0FwiAPGdM1nHQKVuN
DCYvziIoQV30oOX62K2anl5jm5PXZJFKCSGSAMzW4JCQ+Ll28HVSxsYu58+g229tLdUWJZefo5SA
F05lXIV8xJn5gXR9wAs0BppdAD6KkD6Fvm3rTAIx9Ls2NRA6Bn65KNrehO5HWA3WaIZxx72iEl9s
GfEyyqppM4e4wOoOrVkHdrDGNOOpjnJdzg3EsHoLuNjZmdV8BiJmWhmW+82o7PuiLk4r5oyLWguP
2MXO0LhfBT0esWGoV33iPtWl2KmduzebocF8xxFJy4W9KdPiJh7SIyuPbse4ZWTuKk9j4MhYGncd
pf13E6x2mdvVThMhk7ocjlBu8bH0KYWSEQbhSYT/cZFUTYQWvThzpvhrotoZdh76g5hsRk9xXGJU
C7C0c9OQ59ncOhb8WzZwLwkitPRBFBK0UH0t6GGtMzVlyOZYwapRxyvIDIgPdKCoUa+2HiL7fmml
MEMC0Z2VkqKqSp4qaTv3omxvekCrGS3StW9oD6VksKKbaI9yNi9f8lmZzfVrSzJb5wqkUcLtuumA
FKB4kHDXSHJeS2HsiJFyNyT7xUuDBJLdCBZ2Ag8rwMQakhfr+oPtaXFDHqzVPA05QEVMfdmSZ79c
lpI5GwHjIb3PXVCKuzA/eUZIuUqBeECr9bVqSS0I3AYWXgBrbRU648EAcauDug1B3lqJs1NA4Hb6
LstW/rB3ec1GtJdlBS3XApubZNY3280O8IxTwvriaeWD2E00Egglcjdvb2zJ4C3Gln03Ll2vsd16
WeAUWLRxvi6Scs9waNMo2TX4qV1SBSdtVmZbDdxvxGhfB/8rOkBEtiQC1yNpXak+H8G9ug2hB5sW
7QCLJKldXNknupudQsLbpBI57Ej4cJEkMz09gMQBhgrQKFq066AV61CLNejFqTZW9BAAGluQjYVt
fuvIUtIzkMeA9tzVKDHIYIXMFSkjlN0Skqx07QYqB2NNax6XCiTlwfK/zRKtXJUgvmdoy7PELsOt
JB+IsK8SKrM/14+VxDTrc0pt7+qgA3FFQGZJFi4f67KH76zDeW4HRKyGRD/3cSNWSQ8xMIELTfbk
sYATHYWhzfgXdHQKpEmFJT1bxpUP0XlZS8x01aYKXWrtAvEUlTlnJeht57qEU2tQqi23AwJFG6TK
Hd/TGyxgEK19yNZ92NDalajr0jmKJPzat7PzFH7LaEfKUQgfO5KgbLUdjyzI2YCaAE2NxARj60+X
Vo5DNpWo7VkN90gkiBbzi3EF7+spmP0rzDMGvHEawYaEdo9h/FCXtJ8KGl+qBHszrNGXOb274wGg
zLaF/21LQulczeeTRIMrEhKeuMHlaERep6MTgSLuulm/FmV9hA0b8JkWBgxRgI4bg0UWm1WYaz+b
bjJ6tOiV7yrSezejhJY70MutLrvWzf5ktgt+VEeY04u1TI3sC+eYkEwmAX67BVmR0N2wIk4+6may
tfsZaroZsGZzUvQsWtGVVj8Cwd63cNZneMwUT8weJ/SrhnZbIPRBSpNA7kJgkahbG2a7GrRr0XMT
oBxh5eZ4FYHENSXofZzsqxLy+yzMx6RloYwMi4jIVKpraBq2zMA1g+P/2LiHGizPRhfD15T7FumT
ADEmWai9TjCwW5/XZt/Tc59RVE3BHXtn7RVRSI0HlNFD2mcdHEdxNjS+9E3d1BSK2qWZd+Qrz+41
NKzbOKGNXrMuLBqA8SAMS40VRIMG7/xgLDRuarde8/v9qGMUXrlTPFDh4ruMoTrmoTGfQngzVz5h
wex56Jz4u6EMj1sQPQsGKUujVArPzboH30owB9rVA0HNhzh2G2It/WTZ9v4esFpHnvEUrt3CpZob
W7Hw4w5dTssK5jvmaYhKZ1WWEWD4qFgXXbCd0Kl7Nuuk4pNDqOSXUzGHCOTi74ld3uN2B+VMmCSK
+w3nCL4Dv7/UTAInq57sLYLhdmUbshXngihAjkbLSMNeZSlac3BnsQqI6EtknKWTDYfRRqXekHSp
GlGGCap8cpQcnDJpmAP2B0+pyKcMSMpMQpQbJVoCVYZo1vD4WM0bsjVFH27CSJjKMu1g+iKecKvT
IiW621rUkcpwKo6qfobL5lbhT8X5P3MGQSXz1+foyyK9+yjyV/7Uq3O0hMmSesOJ+d38Wv/CjMwx
bM7YWNQlAuSlteV8kf9Umg1RyAJRouX0co52vqiGxjFa43guD9J/KzUeIe6b0o1ztKzDcUqqNAPg
Nb03CQlOBrXo9OngtEF9ZsdsRZFW2jdFKvSjaUiS20lr7bXT9up+oJm7wC0XrshvmL/a7tBehmqR
omyE0Pnf7J3HciNZkrVfpWz2kRZaLGbMBgFNgirJVJswJskMrXU8/f9diqokE1ndNeACv1mjF22V
JC8CF1e4Hz9+DmVUb2FJDchByMbBKfAsSQJn12mKd2oYnCTa0PD3HTDfnF4kJALzYlgTU20HdSo5
HIJmjXxXfBd6MjW6rPfm8ggXqCrq4VsaBP42L4VQqtREczUj+69tu4AaOX5yVDQtBfrupdYWIqlN
AUDqTzKu30WV4yc64D4LG1w+j9H4nLUhp7FjlvEsCI01NBD8fB2N6EKOpgb8IYpQUFN6ndYeiDvT
5KOkX3wNBt9DWq5zw7jYRhxuqLJl8UadnB6ClaVe+Ir/RY7HbdhqFddJdmnkpbwI5UZaNaY/bSe/
1bZBIFuLREtOFKmsNyHMrLkcBPoqTjJ90amqtzYV6uGI08fbMi36mZd3l1OFsX2RYDPYSsY0kwwD
wTs7p/jvnEUaZYVuZHaklnpM2BfaPA0VerJqFbMPqy82ZVBvWzX6BqVgmKWIR8xIqaKF4hfbwC+n
xvU6vjA0vat5IsXy0jOVdaRLNLtUvjsYePk2Me6VU1vcIu0T7Tg8H6Q4lwWpCZqVgQdpz6UTR/5H
U7MuU4tbOh6Gldoln1Rquw7inrg5Vmpy3pXKRa6iQOjXFt4Q4aaQIClTYQAbMBZewfuY4hRPOt3f
1TVuB1aWntSa8mAYebuszf4jkTEC9moX473ODZCm8rnlO+sszVedZpxGAzAfBqWB0iJDmviKa3rm
BRXt5eSH5+kU4kWNBa2DpDFgz7gz8BooYukGLgm1rUE/oRTOT1rvW6pW37UeApoT2HeDhZmvMd6U
DoDP4BV0GxU1ar2ZOqZnZWzktQuhiNgdhNQFzYaXSeRy6hBRsyvSMD5VaH5vZ+2Ipjz+9NocFHA4
9ZEe3PwH1HgENYQK998dxlm+D9QQf/XnYawCagi2DnA5OOibfk0oZWAdoo/xSZvir8MY6hFeK7ql
oF4BcPrqMBYoqmizpMqAxtI/ATXwqHh1GD/2OYLeUfelc1TDEOoNxQ0l2aSIEZg+h8rHAhJou0uA
1d5VUbvodCp8curFazoAQSwV55PXoFToEWbPDcP63qTJRwuK3EyV1XnbII7mFeH3VpI3dVeexhJC
PJVBgwFhwNwzu2aJG+q33hr8Va3inZqW5absKLhN4bnWSBuUM3c16jpKha9o6yEc3Y34Hli1vc7C
aDFRErW0Zt70Zu7m0nQRm63nJmF/RSvgVzwdJOgW2eUYSyAvhXQtBRCSPfKRGSkk7FrzJIm+gH9/
6325RbYnuqorpDWrsnbhn5/gX5osEH9ejXmu7uRCPw/CSZ/Jin4yGcVZl7Undu3dF05/EtJEpJID
XepD2VHq84gR0WD1VelrXxkLqCLKbTXi1dPHWMPX1adQle99PIwII7WSJDy5GSzpvkW3zM0TZx3H
9m5M/GCh8Bk8Od6FU3FbR3m97Lw4XPSwjdxALekCMDwMn0lyKkjd3I3nddt/g/oLwclSTwe7XDV6
nM8wMc9mHWITdu1DOzXOY7WAQN5P67ZXZHecnE+R6Szb3tj1BHFyY3dubUeXEE5BnbPh1K4nWCe2
vOi94ksY4ExN5RlSkBN/Kmtq93HcfDEmVKiFvEZTpz9yu9ohvu+fBrFP6xNsoAy5UFLUxlUadV17
kFzq0r9WkwqZJtAQ22qcLdlOsaA9/z7zrY++N67aGJXKNE+3Y64q1DikB6RLBH1laUbNZ/5tneWU
QPTOtrF3glocRA1WkFFy6gzptXmaKzFhPOKxJsHNPNC8ACON+gdctHVkVQhVgwtRPPRRrYx3Slsu
irwFBonJNzqp/qh01QpRkq/6qKwcn0O5sA2spJAXb3LqVlmW0mYbjMuyRkKtmRKXy3kxBhZSJeBY
kNoq6j2Iwkep1yzUUVupfn4SG/oycZANjwlI9LjfRkETuUE1nlUOc697Jw0azaD0yA7fgWJXn4Os
EVIDDm0lZp5ZV2oh26TXdpVKlzLsvCskpOAKKUO4bDR5SSuEOWtV70fsI65LPdENcjRQZVICKxs+
1Wb1vYnhIhR5fsm9tcJC91Ipko2NorELDDYvBjQPNKubI/hULW2jOVO0ROfD0VNiWRK9HBES9gPG
2B6UECexJnzOa1huYTpv8oFMarwdTBoqhuGb7RFlOeMNXzRQeyRtxlA6zUoyhVjaZHCk0W50/Qj9
b8lbR+mIni5eroMN6qhPW61oPitlBcefHiM1HZZdSr1cC6nbhyV5VazCWLdWPe5E4C18IZ8a4W8w
tEL6mHpJu6FZGQQys+ZjWs+D0PmSRqImUgX0GCANBR+dfqiU1GyKszWMgzOKbnd1r7MJkHYZrGIR
EyBpxbjT22iDcgyds6qMo1Df890aQGG0ZNfVXVt159Fgz+tIv5ZDHyb9WJ1OMa0+OhxHPWYXyjSL
lIPiUJOTPxqt91CaxFNOB+kB0Qe3tro1zEfAmBKNCy298OSpoyUIh4UQpWkEY9xAb3e9lZ0M6AnP
UuAW3be/ou87a0x73RKKVKO8cqz2IjS7z7JabDwcvJHDsRZxlHD+DZk0K8z8Smudxg2nCtF3GIN+
tE44AIuwO/PM6RqToVmpNpee2m6rksS7hOQ5QASkark0zWqhIc+PEVE3r8EhOYW1pWM0J9BHljY0
GNehS6Es5O+JR6dCo7bftNBOXHg42gZS+oWSYXTs+5fAOKeOPXbuhHz20pz6rWzGroXZqhsXPnxR
KXQ2mm+0KzonL7REWlLfvcDe+IemTlDhi3mNyVNd2RJGSiiF9FJzPjbFRWPZN0PYBm5qGK07pIaD
BJyafIkxW5/7Rfcjqls6wGTAhgz6Yn4aOCimQ7a/alEhU8Pqh+GPi7ZVirNgGJZlNN3EikpjUBd/
4gRe1JlxWUleDkfP+SqZ1eehHE7otMfRrk1JyAvIiUpwQnXcDQaQod4/0ZuGY1wfNziSEkYrHqLA
gOR1/KlLUGSbK7jBLaUJ83Ib8d9EDjd4wUWUItNpPuTBvd5p7XzsgKGoO98603SuVDQ6EC74c19V
lhhURTNPK39YDTGp08Q7GP0cl+OQzfFh/5xH6gWlhysc+HpAUx11z/oOssG8kfHXkcbz2hw2E5Ce
W1nIStEXdjOM0qdiyK+TEKirz7R5kYTwfsb+vItRp9cn++OUEecnbdReVqBGSJRb0VoXUvKmh2mD
myqIGD9Vy35LUHi0qP6rzCdyRRPonTYzmjOhpVlv+Al1idXn6GjOufIxnX0xlt1F6U4z4Irb66t6
R9PJIqeMHJ4aq34erPNlsDX8dbQLVv8JcJ+qdn+LNnxtv++r2b3GGiivEb0SPqJZJCQr/6zZKTBs
TFn47SAd9FguewlvHX7iEBOLL/aNjpKN2w7i+PjqQKex/2HNjs7eV+HtI9YAmGEi3QqjB+Ylj/5z
zS5pqkYe8kE+b6L8C1i3sTJjTTpRpbaY0bhSkDBTKeckdc6G2KuXeY6+RFPr2yo3sPLLwNlD3TFO
K4okM92OcdjozVXXtx8Teyh2FQYVRUcNqrHvlC6WubJ6svtWmJb0G8ezl3imyPOCTs1WiEJkjqhz
9PpNn1VrPQyya7gRqLUXxR0CPCd5W9xUil64eopRnumXd8mI9lpe64D0fb8eimGg7SwPskv6mFdK
pOsXkmaeeGbvLJpe9ty0l7y5pFSAyElJCtrcWq1/56U2rV9jhljQWJQbHPgQ8cilqyaxE3xcMB1I
zQC6uVZxv42WNfdCU3eBs2EPeiM1FZ02UUe7r0PzklbSM7sJg1kRxF9CVbtucqeYS5H6UMTUq7zJ
v6mwSAiBGlqcBGfppKw5Bu9lOc4gJQfr2MEqU4aDRytcmvkn0eRcKxGECUN0YFaqfI3Ap0q5S982
QdG4iefhR9AYt2NbD1ya9RfYk9zoBedTaWA7qMsXQMjKPPDCy9ChYUZKe7vfjiNtaCOEZxniswwB
2p7Ck04worWovmpNAtLBkCG3ViluNRCoI2pjVBESROFIe1A4ImTKKC2jmoGKVby28wpDkKy2zx21
GFdY8CBNZ9IQnJXOzq+rB7Xs5JkzWf6l1MYyFRXjzgE0OCtH9UdCJg8qagJhBJHqnCUIgLpYnmFG
EdN02hhpvMySrNj6cX4epFXhyol93ks5BSsTRqQ/5j+o72izGgX9tlLPoA9m9Lmi6dGEsEOUNuei
MaRVNHSE8Er7zSyCT7hrtG7VUkNTgwxWEf2FaHOq1GCoQhLjf7Lg/yte/j31vVUL/rfVM+lSsYsf
Onq9bUCBrxxsN4NT5MpNpW3MpNwUZrodGmOh+9r5qMTnyF8NrpMQksl59FnuvRsjleo1aDCqv5J1
UzW+wWOrp16h1oS5LY2fZRrBI5av0rHZytiClHF0FYb+wmyTr71cfQe7y2n6xVF2rLszu4rbeWVS
PcjlbGfYTK6hS1vKqPrKlKHhtM4YQ7+3TuVSuYOho83rZvxcaCqUZaVYFjUCx3kzlfNx6DaxN8kk
OfJZn/TfA+Z6YWqFRw0HE4VcLb5oWbFzuPhNGyco+MJQfry7RqZ5tqJfRUr60gWayQGf2pNhjEvq
vknsZqNx34h8qqSlJLWj09KrVFxdUkAjiD1RUH+zo/KExOxGiadPilRf8nxUA3R0TXtnVw1ZMueB
5/7U9XOH9MQmnEZBSb6qHe3b2DjFORThxEVbbNhK8Sht8pQCdQafuovLjzrE46CIr2wzM9wi1ckd
dM2rN57FKFMVGOvU0heVV7YwF6SEyqh6GckqTe5wwd1SqQH5cit28eZCFhZfFFf1LYrxImLt6Uv3
goRakD9cRkgbYNIg32H4+yyD/R9UX+di/BsgqbmlXSS5bWuAozfSGOIv/wSTZKG/bOEL8Oe9+dNt
q4tLVn/WM4Sc8nLbAt9bVMKQWaYUiTIXP3pB9q0P7GloM2SnJpRTrKj/AUNG035B9tHOgKQDQ4a7
G6EuQcH7iU1KO60WV0OSn7dgI9MOWUEjOlN0OVIXDVDRBTlc17hoFpwZlNaoGd3pMPgXlZped0oC
rqukp6VafU3GfJvU2VUI87KRVMQEIm+HjPWOCJWdZvUrX8MYparjUyjln6coe3DCepjlnVr3ghhy
iS3aUkmpKwaU7lr6queCIwNtINrB0J8NmGzPK63LlO8IP82GrveTZe+DmGwQra7CLV35jQ8hQEIh
QO4cqqhpoUV06ksyCaHZFRsrtNJVaTlbE6sd/VrzGks04/URascOfQGnVRTWX6Pew5a501J12bVd
NAE+RCdWDQvETRz4JDQbGBJOdXYVrUlaKZaVlS+XKJmaNFLTbPS9NVNQoyT7bBWkNw0ND3aHiVoR
mreFl3tzqy/Zk3bSL6kz7KhjlK5aU2oEY1mUEzS4gGpv7nU3qux9kqpp01jSVYc9adb1G33M5p1E
V2tvIJCDA5NdmG6VqPg/h7fUOE+QUZI4Odtda5GBWhJeEQLtQK/7qmulDerHi8wjIBCyAlqFTGC/
xg4EXCddox5y6jvZWaoOZ22OQ91YXzlBssbp6QbHYlJ8C/anf24GcOhhTH5MCrq/snCeFPKqN+qr
qsFtdaDlzNQ/p+TVsmPfOna9TXCmoYKJx0nk/MiUfKEn5pmGWw0GxCu9mFwlr3ERqi+cuPla1bTy
Yx1UUNHMrOBsyjGlQCnBMSjy1vq6HtTPU5/vOmxdYEcQJOg49uJIHARnkZef1ZpzgpXFEnBzC2K4
Kkz5m2pESzoMd4XWfPdzO6JtDicoy7nGSRgikrKConOqdJAO6Y48a1Wka8vorDLVy3KkcDNJN0ag
bRJ6x2ZJiy9inG5qRST8NtyY8sHRa66n5DNw4U0uB1eoWyy9wjhF22aptine0x1uc6Ny2uuoSvAQ
rpMp9JQrp14Hx8RSYD41p75FihmSqQ7BJq+hUqGN8VBZ6lXnDFfVGDszz++MS8tAgMXsgzPT03ej
oeIOkKCkDtaAYlqo5qg9iq6fmTGU57JpYDvFkmodfZPAnHQxTqSUUTv3oz+c0RI4J3AFqfEvh7Ix
5wM9edgbWnOtLL810cjy00wK3t4K1HRcSpr3DefpXe9gPmGn7XUM00CTNNBFvanRDp9QFwGgnmkp
lWwpwLS46KRsoQbKztP1K70C3sXQDZ/ugW+cDoyLqJBWtZ7OC0wnoXvFEqKiuNsAwuyaqF3FHg15
QFAyuCTOSJgzhyqVOKetL0ovGN1Mr09UQir4LfVJkmIv4sWnWimtYC4sUrM8K1QskvoyvUN9hi9j
kubA2P088kYmqzEvjcTe5A2UX8RstFkWI4cHH7jBwLt1cxkteTUwIuCd4jQN0duIgQloePnSWAR2
o5rS1plOZ8RhuyEO700NxFWyIUMXqKgMYYDyatRdmZn6CZGerUSma0ttskRBmGgx7HeGg9h8p3MC
IKGCKl6RoRVfeu0M7/ByGbXjaV4q/czUwvM4Lm86szXdIBiufdNgvUOdy6TG7RBK8BKmJihTSC9V
dANglblOSIJAqb8/nXJKiYEBdvOfHPspx+bC/f3df90mt9XDr/e+wV+93PtIlZOMQmyh8KM8cVxf
7v3HZhUNpStsFEzEiblyX+598wNFInJsWfDdbVvk5i/3voF3LcV+cnZWFumx8k/ufWpFb7Js3pi+
RJlnoDuRotQblIaTXi4phtKukuTQi9AcoQUKknpMx5bcoWlUJaiNeKE75t4urDD2NJS+dqusu0jr
fGM5noSIJ6IHTlfOayk8CdpohwlsTzwefiRzvO/wLXelvLNmkdSnmKuqWHMKTRTZ9N20xglvkFEi
oSpT61+cEoMFO3BgMgqc05GmJTZjEvpIAT3IFUmej88Y9gKfDDv7Voz5TRegtZQ3deF6pvmpQrA7
G7LPjSN99jJUmpCX0LRw18XBKR3T3+qcTpzQsS4qzbhLgHIXKR8Mn5PQXNHivG2V/Gs6yiOyv9rE
sKKHJ+kR++hvRrWoFmiwL3V9wuAy0npX76E3xpJ9jyOiMbcT87Rukms8/GLX9o2FEdtXeejcl7Vz
ERq0MKslFrqyHzULr6d5sOhgAGR3XpN/9Uq09PLsjtIh5bO48hdthkFGbaUXfuGsw6Ce4cv5LVGR
0ykSu5j3JtWSvsjvesXBahvLzXSseowVtGk+6ikk1hKyE42np7jtbUvdO818KtZwzJZj3i/lqt/6
jrP2VeNqnLofoR49oLp4rQF3oHz+JfWndA7F9AxCquvIgAt9TylFlSPcE+kJuoTOuguc4QdXYT4n
tFrlsie7bUXFLpXVz7pvXOkNDrB2GF/rvvqjVc2OeoL4c6NtlySeX1Lg+DoHjCXw5ZJGMwjqcwR9
OvmaI5+/RPTzjEMXx7TYQqhAoewvwzMwp3gpWwWd3ba8KpsAdDdGQ6gt+NbSRu1dqCvzVocTWSLl
ZIZ1vfLq4iT00nI7pTGxJ2e+KKhdWQnYY0aAUOr43E4eKgMxvGbohsCnUx2BmLLiDDoYXXtiEY81
32GqFv6ir6aP6J/xrplNdbJbenL7cbK1bdjH2sxS4UnXpQfim6D7g3rUHaWWLzYy/jPLLL7LCt7H
We65VU+C18vhmlKcRFk0WMsZXh+SFWeuLOcrkxKBIqNKWcuSsyaAxHOwsx/SqDzFxb6bFTWefpXT
bEwfe0S1Bbzx0+EmL42tp9ILw2pMuTOa7zXUcFeuFCocUzFdpFR8TvQshmgJs8jfJCrez/M47j/j
LFl1iMHVQfiJafCac7URFpJmaGhL00vl7NpCdTCf601BYo6aax24CIdbF9DeQpgTJTI6Wjn4X0PK
g3XCEprpge6dFbgKRg0MScxX8W3314EFrzIoZaEoZgyXSLxtPb8MtcVgQcxAOykBULfNuty02MyY
1IHRvnEhQCXpvB41dIuSS4zQhnIlR5r6Je6hM+9AYVrOmSRQ5oNp3cl+i/VwbI4V6gS9lzsTdEjd
KDFYVS3/Wm6spP6qYtToUW8EYoGikpreNwTMAn0nq9TsYNYPbfGf6/JJC9Lg9vj9dfk1T/YIQIq/
ebksaSPhwkP5EYcrGBQGjIaXyxLxbBpMuA/JeVH3Fy5bL5cluDOdJ0i0CPRZSKz8dVnaH3BmF6w5
5CT5Jbr2/0GSDK3pzWXJALTyw6Gg91S1LYeH+DlJbioayhM1Gs7ph6c6Zzdzy6uuGzUN3EjlCJ6U
LL8OyYfZNWn6sW69ai3JClXHyUP7GGNLH9pbMyt17Qyin4xLEdWX0YoeNMTLEMqQzZOg7L47bV9c
5yNAVlwmw4Xj+4UL+mS5Tuvl13rd7SqZdd5kzrxD7f089fGl7vvMv6Ioma1a7E8Wfucp81pRbkBx
k3VC5RHnT21FJrrRRvvaL9tqOegI7JERY1YYDqnL3fON/v1+7QjH30kNb0qd/CoAfl42k9O6Ukw3
psIUnIcKdiPYijoYoOeicqbSBp2iX90XuGokvoY3UIaCuO9DDkT2HjGCCAy9TU9bmj1iB7IFTbSz
Jsd8JMem1ggAelt9EVu+vFD9bhtXElpv9idmc5fnNJDIDX2POQRqYvPgm9HplK0dcAMcRX3cxHHm
SBZF4EOB88OPjQ72RR0S+ZBMsbBW8tfxRMuoZKYPmo9Ny5CZW7MiI2gmemjwAoiWDVH5MvB6hC6N
6StfdATrr/iYS96ZTv8+EPRaQ62OT6Lde2N9IdVZdxrbdjWrGmFo39tn2uSACnrTmZHzlTYFtqRj
T8eC9p0Mm1w1vpO8AiQ0CLZYop6bPVRh+M3NTPHpJZd6dWNQR4OSiwpJ7zvn6DI2rpqKAiT8iCGF
OGFp3sxQgq+FP13qOpo3Je7b0jBJsy4jMWR9YABvl7F9ro0cjN9FfW7cWAQBCyvwTxB0maDtK5U/
R34SDoZlPEgwIsLWRjFHGinu0mzoOZEBMz/ZotldzSyDhho1VU41iwwo6ZCK9GSF1k/DDlejEUPe
JAWupUm9qgyjIw2pMqrd8V2pQnzDQWJchOmIcSwuWgSEXNzxxCTTJ7yRxrp0UYxR3J4N7sqsVM0v
rpIsG1jZ+mawnRpFglS+zgIPERVdXyt5NswqI6Jh2DHTuer17qTL2UwbvYdxVNehZBub2DCuq8aj
MydrXCvWXGpMZ3ptJJteN+Af9K08sxJzI9mVfm41I+1OSBu4hRIimlnpH7sYkNhrjFNyM7KxbHRc
WTK2FWISW2XMT0o9UTZlHvItNbiMaV9qxTuXen+JJsGwJCxcNUjQU99Nq1U9wlCESz63y+R7kBhL
Oy/Y6myTQjAs1RSXcCiXg+BexpJlz6neKueBYGZ6gqMJERttGgpY3IneWVdK+Qw/MygqDm72GXiC
RpIHeWu4HJUaGaKyIN4bJ9y7BD9ULhsMXOtcX42+B3tU8EiLMjtB8shajIJjWgu2aRkp0krPYaDm
ZXFpSnDsJ8ipkux/KaRUu1CjcHA5/eKNRFHNDSC1SgTAvmC5mtBdSyvyf9QQYJ2AbXxpQYqdHumx
qC1Alf3/Jd18RsP3iin/KRIgfnqRh1lznS/eyjH/W7/0ckftH+j36sw/Z6JQpIF4X13Gj8/0KA39
d0MktyhIt/coP2vWB+5VSlSI2zy+ICAmOUIiTz+mn5xisIKgGZkjqoG8fv4a9z/8r6LUv5up/+sk
iNz7DQ4v1KL/8Uwwzk9TgeUiBsXoR5CTi5f46c9TgfAc6Qa2FvpTVf6nhfJ/+4D/zkT9/mvcMwnG
W+GNf2c5vJ4EHf8S2Gr0GDx93aASryaB9YAqhyKbonrAhB/fJIjv7cCVgMKIwtdMnLl/EkQMy65R
FCEQfoSTIB774EmwcNPSgaXggjy+CLlfrQRhdUNByxIFqyOcA5KMty3v/3w3oELjoBip/G4hsBvo
lsGy13raece3G36pbP7zScCCCLM1pgH+jniJA+PVuaiggKaSMgnBtONcCU/b9InX9uel9S+uydfn
IlmmyEoR43n76WWWwKPO59MNepwnArvh6cs5ZA5ArEGjDZK2pxOBM+bVQhC7AfcEw1aeMILj2w0C
+j7wbqBcD27hsNqfJuHtBcmxSNGebhLlaHfD4XcDFyQ4jYKE9JslID49tRBOi6O9FQ6PkQiBRBjI
tfCbA1FIQtogSEKv6ygPRAGtHbgPrA+Abo5pY6L8+PplH6D8YkMUVcC4xOtoz8WnYP6Ac1FXPlgg
kpYqzgXx+iVSIqiWdY1I6Wg3BY984HqwP1goboM6Ps2BCEBfXQ5kT5yYEI8ebeKOdz0IY6/DpgLZ
V8G21pEbfDsH+gcU+CgH0xr4+DrS4+EXv6d/HjQa5JGqqTjCmel5+79dDqbJKlDUp9vo+GIF5fCg
UWXJqwjrkS8/vsAoXk2CYnzAi5OAisjyeZKO8roQDqeH7QlwJuoqdCGgzvWy9F9NxWPtR0ZSU7AW
j3ISlMPvTJOUWiVyQjN87ySgekpobeI4f6yxo3I4zGZ80BCpEHJtT5uCbfZqJZBFiAibbpWnS+kI
T4bDb0sdowoVLQ8dCFe83kZPrASRUdNg/gRGHmv0pBweTZsf+KYBkl6m4m3gwHqAUY1Dh1D8O86T
4fCskjXPLWHBEHvaFJw1rzYFxyOEMAUZgqej+Pg2hRB9PPCOIKukIY3g6CljEJD+60mQP/BDVPbt
p8TraDfFwdclIaQO6ChMMp9ee6bCFAIUMASPdFMIYseB60HQKlXEvPXf1KZIKVgtioKb5pFOwjMG
dEByqZkfKEoBp1jPYMPb61LYIZkATtTnjnUSnh7skElgJQiRFoN21b3XJccj0rJsBnGRHuUdIUzR
D94OfMusA/v5UHi7ErgoHRMJXjS7nmbpWKfi6dw+ZD04HxQRQlsIoT2+3k4FgsRE2YioCSzmKNeD
EEI+cD1oHI8yEkXPcbRA2F5dl9DS0VSnUds61pPh+dw+YCWAvXE7CGa7+bTmf4Fc5A8G+vY6+cSx
roTDTwY2Pn36YG/PhRkW/auVwB1BqMAsaUcLSB8ePZIxUYf9E4/+BYXleFRRB0e64Gi3w+F5hPmB
/lNEIOVnDssvcSOqDwaWakgYHul2EKDpgQcjK4FuWZ2M8TfBM8wFYmeZm/RIJ0FYmR44CWBNBu1I
hI5PByOL/vWZwMkpQzZWjpbN9Iz/HHA7aGx5JEyhMz0Hz3u2A+q2OtfDsabVoi3swJWAdZ2ou+Bp
97QSfsGaYPoYmkx/2lNMcnzYwnON4JCVYH/g5BfT8JxL7lsJotmOLs+n17GeDIej0EgJoylAyvic
JvwSLYiYSvwPlFa8jnVVaIfHDNTjKNTTU/IMu71dFYTQABAyK+dYl8NTfnPIziC3JrPWcT7+zW2p
MAfAs45z3Kjbc2x7yFRQr6Pr1qBm9+ayZB3gkm6zUJ5v0yNdDsKJ7sDbgtQa4z1o0M+5xNupgPtq
ElewHo71ynyuIB6yECy4K0KT7OXr/uWIJIJUUVFxhNsrE358V6Z+eFap040H2M6t+eeV+CqCFIUZ
B/khzAmP+soUzYIHbgr7w7MEz+/SqseTAx07QQ89zvXwtFAP2xSiIEmF6neML+XDo7SQcbS0N/3w
4Ak43tIRU3jBm345HuH+gTLQ4Xqsx6N+cG5JdQrCO/ch7qyPL6b11ckAHM9lKSNqcbSTcDDUIlh/
mrCAfemP+CXBVpHRhN5DdeZIzwTj6ds55EwQQLwCgQlUbf9KoFOGmrXNajnSSXiGPw6ZBIE8klkK
2O3xxVH7djtgy0PR+mihFuHzeNgVyZkAi82E1fKbaIEzgZYq0CblKc841sDpmbh+yHqA0aLJ4mP+
pm4tkGhHXJXPNfLjix6Ng6MFQYKF10M29Rwc7gmhBQRL8Hi0K+HgO0Kjf8yC7MfnfHskcHtg8IXi
8T/49P/GOvmz99gNwuT+sTUZQ8THTqenbtN/+QsvPbm/DvBTz+1j5/Gr37wei4ensZ86c8V//8/t
fRpm87BuqvCuUR+zpJ9++pI1Pb7T898/f8Rf3/zVm718rpd/XIcP1W11h+btY1fw84Oe3aZ0OP9v
wv/d377tGBZY6Mu/iff+7/96/bA/nYd/Pzr+bw8vA23u//u/qDloAih5+bdDBk9v7/PqZaCfBmfN
/DWP/8cnnyGJuO/BieUOHtu9TW47vpL6Zayfnp044PDx86Stf/lKmXWyr3cYPGuq2z/cvG72vQU7
+eC3mD8kf5zl1d75JyY7ePxF8sc8r1g8L2P9NP+cwwePv6wwWd03ONnQwYOvkocsexnnpwd/j+26
btPveXLf/Dq8aPs4+NE3afFQhbfJy1B/Pb1oJjh8+GzcM+mCl37w0CcP1Z45F5yJw4cOM3/PQSCY
wwePfXob7znDRPvpOwxd1w/75uQ9NuhpXv/xv5n/kDzsm5n32KK723sO4Jd5+GkhvscW3d1W4b6p
eY8tKsYu8n2nu6DQHfy17h6y+/wu3Hd6CTGHdxi/unu4fxnor3kXrX+HD57z7C/j/DT2e2zTXb53
Tt5jlzJ081A9jHue/D126tltsWehC+jp4Ak/e+huf40dcWF9jy16Xt1yBLw85U9f53ts0Yvk9u5h
T+woSukHT8tF0qb7gjvtPXboVUjoWIf3e2ZGkCYPfviPt3cVKUHW7LlLtffYpR9vsz9mDwh97nuD
99iqT29QZbfV/d6DTBTG32Gasj/m4YO/70O8x64VH2LJDrgL67t97/Ee21e8xza/Ldt9t5X2HntY
vMNpG9Z/nH8P62Lf53iPzSzeZXfbPOwb/z32M+M3t3/Mbqvvt/tiBlFLfI/1xHu4qGnvOaxFGfW9
3qFqp5fB/jpTReXn8DcIbvfmhKKicvjgYBh7p+ZdNnNYx+GYty/P+dPEvMte/jvb80dI5gAU5COB
yW9tfA8e/F9Zuxz8BgJm2XMPC6bGwWvm+iG43Tc1As4/fHBi/LDZE7QJcPjw0f9OV//QSb9uAYjS
fbicQNwPfvZPjNDu26tCf+/g0f9GQvnQefkbw8C/H3ofLPsn6+VXsPZF2HDfn73GosVv3CUPt9X/
/D8AAAD//w==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1E8C9A06-471F-4595-B92B-280653B2D905}">
          <cx:tx>
            <cx:txData>
              <cx:f>_xlchart.v5.6</cx:f>
              <cx:v>Sum of Amount</cx:v>
            </cx:txData>
          </cx:tx>
          <cx:dataId val="0"/>
          <cx:layoutPr>
            <cx:geography cultureLanguage="en-US" cultureRegion="IN" attribution="Powered by Bing">
              <cx:geoCache provider="{E9337A44-BEBE-4D9F-B70C-5C5E7DAFC167}">
                <cx:binary>7H1Zc9w4su5fcfj5Uk0sJICJ6YloshYt1mJJlu1+YZSlMgnuJMD115+kJHtUrCo3dcJ6OBW3epZQ
kwkm+QG5I/Hv+/Zf9/F6Vb5rkzhV/7pv/3wfaJ3/648/1H2wTlbqKJH3Zaay7/roPkv+yL5/l/fr
Px7KVSNT/w9sIvrHfbAq9bp9/59/w2j+OvuQ3a+0zNKP1brsrteqirX6xbWdl96tHhKZzqTSpbzX
6M/37iqW37Mylav3m9cwXMtSXa7euZnSw/9Wqe7ev1unWurutsvXf77fGAy/f/fH+Jlb/L2L4RV0
9QDEhB+ZiAtBCBOPP/7+XZyl/vNlA2F8hAjlFkNw5emxF6sEKF/L1yNXq4eHcq0UvOTj/+8ZZeON
4J6/Jn6V++HrDKj4ANCf7z+lUq8f3t3olV6r9++kyh4/X9m52fDqn24ev9Ufm7j+59+jfwFfb/Rv
XkA//tT/dGkT3X9A/q8YPvTDW4DOjrhJOeY2eQKdbYOOGabMhun0EvNXcLQb7vEAE5AekxwYyLN1
/O4iAxHz+9c2RUfMoozhYYEPvy2Y6RE2KQGYRzi/iqndSG8PMQHrbaIDQ/uvOJfpG0ANYtwWxLKR
RZ+gHotxJI4Y/CyL0fGSnsrRbpxHbzQB5BHFgSF8W2VxlbwJxuxIcCwopcJ8/KGx1DaPCMcIcUw2
MX4NT7tR3hphAs5bNAeG9F/J6iErf7/YhrVMQPWamMNS3bTFTFjEGAtiPs0AmAAb2nkyQ7tBHr3Q
BIhHFAcGsFPpt1DLRBxZCBNq7pPVGB1ZFrURwiOAJzO0G99N8gnwbhIcGLouyGn1Fsa1AKNKYAK6
+ElMg221uYrxkWlyYgtqba7f6RztxndEPwHgEcWhIbyKV/W6XKk3kdFI2BhhxvaAbB7ZfJgG1B6B
/Bqm9uC8NcQUqLeIDgztefxulpWgkt8EbYaFbeFnd1mI8ZIGxSwEgjCJ/cMye6mYX8Xabsy3h5iA
+TbRgWG+gGBS+haA20eMINuyEHpyp8aAD+4Ut+AfNJLh0znajfOIfgLII4oDQ3gZr9P0DVY02GDY
tJDAIJ7H2hkJjhixRjGRyZzsBnaTfAKumwQHButxlXzL4gf9+5GlIIq5jSjdRpYeIRsRE+KeT4t6
UzG/hqXdEG+NMAHlLZoDA/okydelXMW/H2iCQediblGCnkwwCHpsrGRkHVkgwi0EvvTwGzlTr+Fs
N95bI0zAe4vm0PBOu7fRx9zEILHZc3hzSx/zI9DUts35KEt1MpGfPQi/pJ6C7sv7DwzZs3X5ForY
OiLsMRbytEiHVbq5isVjghIRDNmLl0b1VH52I7tBPQHZjfsPDVlIdr+Fj2wfAWiQRqTWXiPahmsQ
5hpDO5WhPdhukE8Bd4PgwND9sIreIuEEyxI0LzMhGP342xHlEshCNmejAMhUfnZju0E9AdqN+w8M
2fNVKfPsTWKY7IhyipnF8RO6O6SysCnjGCbA429TNr+Gs904b40wAestmgPD+8NKqfUb6GBwmSgk
jrl4BtscW9IYgplwmXJ7JKinc7Qb5RH9BIxHFIeGcKbe/ZX663j9FvqYHpkWxoT/0MdbNQL8CFMC
uUcQ68Nv5DB9eB1zexDfMcgU2HeQHRj2N6v03TlUqr2F+/QozhmDCpEnab1VCISPMOaICjrC/FVM
7UZ8e4gJeG8THRja56sHyEy9QVTEPoK8FAQv2XP2cay5QZabNhR0UgQ+9Et/ajpHu3Ee0U8AeURx
cAiX8g2UNYEqIEYtgPc5GTWW4lCwaxEEqlqMQiGDeTSJoX34viSfBO9LggND9yZLs+Qt1i8/okTY
goFl/fjbssUg7Iksm8IK3ly/0znaje+IfgLAI4oDQ/h8Xd5D9bj72yvu2RExbWFz+zkNsbWAwRzn
SIAVRh9nwEglT+drN84j+gk4jygODuf0IbuXb5JGFkdgU0HdNXtOUWwpYwK1QswmZCjN3lDG61cw
tQ/n8RCToB4THRraGYD9+xc1lNpDVa6AYKb9ZGFvpZXNI4tiqPhDo9rc86kM7UF5g3wKwhsEB4fu
myxj8IuhcP6nwN7aRwHVIOA+cQHBsNEyBithymTbh+0L6knQvrj/8JDV63LdTfmar9wBZx/ZzGaM
mPssLnRkg8Flk/FuqHPYmTeVp70Ib44wDeVNmgND+mKVv41djcGoppBs2mtXQ10IFGXzUd3PVH52
I7xBPQHdjfsPDdl1vXqT7Ywgfm3MODGfYx5bPhOCHDKUW1MxykVdTOZoD7qb9FPw3aQ4MIQvyxVE
r99ARhOo9YHyWm7v294GO1ot2BZjj4PW0znajfCIfgLCI4oDQ3gIzH6opHp3+U2qfJJx80p1bB1h
jm1YrvxJUG/5TJCMgloR2B0zMrb+F6ztxnzfQBPA30d6YLPgKl7dr99m6xtY0cNKf97iuEuSs6Hi
Dz+5WaMpMJ2v3ciP6CcAPqI4OJwr6JLxBvJcHAliM9hQ8Vxfv5WQMo9AAIA/TUb19VewuXYaR/sQ
3qCfhPAGxYEhfC1hh5SSD2+jtAU3LUKeK/u2S/sgEgr7p6D8a7SMX8XUbpy3h5gA9TbRgaF9s7ov
oadIqt9CcfMji0ETAtDbe5LMQ4xs+AfKPYffKK79Ot52o75jjAmw76A6ONzToXlQvHqTlDMsYyga
gULAfQkNdAR12Qj8r5EwB2vpNWztw3x7kEmgb5MdHurvnDU0QXqL1W6Dw4WHfex7inthEzs1sQk7
cUY+92AiT+dqL+bjMaZBPqY6SMTLdFU+vE1CC7ZQwdZ1xMlz1e/YPkfsCDqUmGDDbwbCn0B/DWO/
An5rnMngb1Ee4ASYybX/Fiv+sfCAWbDnarxFg8HGOsJhVjzLgm3sJ/O0H/bNISYivkl0YGDfgSFX
vYlGh75gHNa5ua8p4JDwEuCF2+aoxugVLO1GejzABJzHJAeG8k2wepPOj1D1Dc3AYN2SfS0sMLST
AnEP0bjRgp7M0W6MR280AeIRxaEhDBbRAiLn91LdZz8+9e/o7clgK7RpMjC+f0bLNvbWQakghSan
Fic71PVPjqaEf/YA/fLFfg4zBe+dhAcI+2m2KqppVZmvDKNDmSgUiVIMAD/+xpYa2OdYwN48IZ6S
ZlveePruFcztx388yET0x2SHhz14vs6q/PY2LjkdFvZQA7y/f4ktOKEI2lA9/n6Inafevk+O+SvY
24v/jrecNgN2EB7kHHDLqv8pGp9KAH+H6IdtAIwiav6oRxvb7CD6ocEgaIdxSvw5JjORq1/hvvFm
k0HfoDo0xOW6fBN7HbrZ2Cb0/uRPkdVdG/jgIggEvlvYT+ZrD96b9FOw3qQ4OJxVJLus+v3remjp
TMBgwz86d4PhNjbpbOgDbMEen5FIl9N52ofyaIRJOI9oDg3pLF69KLr8ffJ7KDmFNPhQlvj426qC
APlNBSznrfDqZI72oLxJPwXjTYpDQ1ivUqniVfUWaXAG+6pNaDVm72uiAIVr5rAnl43iLHCmwSu4
2oP09hhT0N6mOjTEh7a/b1HcArtBCMbQNPTZKN+yyaDQeFj1W2WKN5M52oP0Jv0UlDcpDgzh23Ww
eovNexBSg2ZjNuyy3+N2gdUNHWEhJYaevPKR0z2dr904j+gn4DyiODScYQMqHJPzBmYYNBmE3kYQ
YHl2n7fqlzDUL0F/SegCvWmG3U5naQ/GowGmgDwiOTSUK6hreIv6JehfRcxhpe45b+ExCzJUNlgj
W/t2Mkd7MN6knwLxJsWBIfw1i98ioQlnpjBoKAjrdOxEgZfFoA0KtAvdXL1TGdkN6wb1BFA37j80
SKtvUJD02/dWDxtuEbT8hK14j7+trmRwtAJ0JOOQ9xohO5GfPci+pJ6C7Mv7/w8g+2sWN154ONPs
rx/fdkck87Xn00FBCZyFYUMge7cjDELYRtAtAXDfFcl+ebLeXu/86XC/7bPp9p3K9/SKv/4ob3Pa
3P6T6H4e8jdb6dX88XjAF4fR/frq46SGsw1HpM870neC+PQtTx7+fG9B0ccLUIcxNraybyPwX6o1
pLb/fG8gBHVFQ18qE04is6CtOgzYrJ8uYUhlDPu6wFHmMAuGBkUpHJcW/PmeQggEDbtyzQF6OOQM
/CmVVcMl6A0MdcccGtRB+hqcZ4F+nt94lcWdn6U/P8jz3+/SKrnKZKrVn+8RPCN/uu2RVdMSYLBD
K0MbojEEUmqgL/L71fXQNRLu/n+6J1leVFV7kTZEzOvGC3InIyGL3Ig19UfbsLrTsK3TaG6akf6q
M1p/iqhqC0eJtPj84uvt4gZsyzE3UGEFnTWhPwQc4jfoqJfc0LTLIxFU9QUuUnThR33qORXL7MBt
a50Jp25o9ZXVuSGdMuG6cIuwjHzH6xWjLmy/SB+E1uYljBFUMxzH6FNvGRwtO9vy1qgzULv4NccY
OpNscQx7bKHBHOQkof+2OeJYsgCw7fQFaS3fn9ltH3+qIbpFFpp1meXUXYvCmWQed3pmd9LpIpMs
k7rs0KysM/0QtEohVxq5NVNwOGft6CQwa4eVVuTP/SwMrqJKnCZKBGoGmkHcqaA4i+LGaudSGfa5
LIM6Wf76rbZhgI0oJrSghuPzoPzp8aVfTArWGX5j5LG6SLUn7jKfI+zQCMPUyNOqvWraUtzkHoq/
/Pqxw1x7ORehLQgcxckIHC0CHYAwGdh68VjLbH2aKz+9SHmPLlAUVBepKl3JveDu10+C5bP1JAEl
nAz6/oFC5aN5lqe064syyC54btJV0WRlvPQ077AT5cHcLKq4d4nZ8cwNidUk/zRphkmx+aIwUaDn
M4UjVKBt+/jxEBmVgZ8m8oIVkbVKwspaRfHAg9Unam6XWeZ0JkC/bOKiwU4RZWytY6FOGtHRD61N
StMlTZhFbsjS5BMpc0xmAe+6dW7U+cw0+oS5lshoeWwRu6+cX3+94SCIMf9sEBuQYYWTNMHO3ATK
tCsrtSzPOEeVl6xkqZXvICPSKXVI16X+aRPI6JvPRf6h7YtgYWe0lS5GNfuuWd9nbhf4zKVZWK9l
SdhDbeUBO/01k9TaAplQApNocGOhVYnFwCx6OZ3skkuzDDQ5D2mRe4LPtAj6ZatbIha6riq3bAvz
Y510VuUEQcDcEqVLhct8GdMcu1FcJNd5bCWtw+LG/9yESXbSKa2d3CryT7aK+MwrUs+tsjCUjtQk
bBwvVOlFkxvqsjB6Mvd9JELH6L00cXEdJMeWreNrHPpXfpeS1okrVlxor7jVODHIzK4xfEjZYZAN
tOp7x2x4+CEOLP7VMyt6Gtgcfej9thZuYwY0gTOQOnli8LJLnKbj/Qw1ljHrw/Y+V4W+qUyDBU6T
aLbwVFGdUA/j2yJATbT0mIGk0weR9w2K38vakWlh/F0lLJnlucInUZbmJ6gQ8YOscxvWPUmiGym8
ljl1Qf3T0isrt4PvsEQUi8uiSdo5bcpigVCL6nkMZ+76bt34vHBrHHjzRJFyVuXiMvAM35whlOlj
UDW4cVMztB2uWfylTczgDJciv7GItpaVCA28UHbSr7idlXNltmG/qCPuL4y2NVdYxc135ee55fZY
m5WT+rj2F60OM1gcTTPv/LriizLzglmsSXKcwq0OtH4tM/jQSc2cUIWh4TKvYQ7LrLZ3qI49l2gj
TZalHc19WnXmx4YgCucdl2bshDCT9ILoRqhlS1j7wY76PvY+Vk2hk8TpZNyl5UPgBRj3X1VjtCwJ
HFGCKM/ucZeEmpRwLllV5eaFjnQStadCFv2yFpX2TpJSytwJcZzdmMwgJ2FHSOVWgIHndIUpWoAr
4XyWeh7oQx1HTTG3o8Y33TLWyLsMCtNm2XHUsSaYdW0s9AdbaQIzqvEypBq3Al24sI0g9C5rWDq2
7xY85zDhSKSSRRrLUjhxAcrLm7e1tF3DA8vVcjrPTCkc4ewliRuIqvEWTcziZK48sAoWVuonvct7
CyRmiiNauUlQGrFTq85XV0oaSTLPfMm/G1XNpDkzM6yXkvKKX1iG53unKWGaWaGbtqrou2MF2b8y
mOd+wJK5p+q+WIhSpXLRxXbSHZtKJblr4S6WLmutLl6WspCGC7Diz0ae9GgGm7aiZAb/NY3LODQN
BZ88TT+HSSKSE1IKHc+jQNvXfaUJWYRGhtFZ0ASKpQ4LcKCXXlnn6Q0oY3Ia+j2OFlUOHMwzHfv9
nKO2Fy4Pu7w5T3gHU9uApVLOPISq05JYVjzzPeJXM5bWAKdkCuyTtA9Jv44j6I4248BAMiNdEhQn
yJT02Jcssl0cRQWZyUx6s77yIssxmjIXV6HXhNQlsgh7J8nD3jgzvZguUO75FrArWD5HXdBnJ4FE
jT+PBA0aZ7jPQUKKFKaPTwq3baTRO7qVxt8ltPnvDEfCOsIXqE9lLx1eU4PcdnGDqws7F102S0Wh
z60qBZXkKxYBgUgIfC1PBij92qM4DU6LLonbhWqsXp4h7etbGmJrZbVe4jkcweRdVGnLyFzZvQTm
KxQms5gUkXJ5480lksXXuGnAsgj9sL5Rlt18y8uAHNes8b05jywTOyn3YBwrzsJ2kZY1uujbnNCP
SlvoFmkD7mhsQ3FXo4618xonoTwuW4ybk5T5Cl9Kg4m71CyGyRmGhVqyWAXqqu2o5q5ZNIBN0KTA
WKZA6J6BBhN3hJswuxOQkuUMepm12YlWwsNXYVlF0TXmqaAnLQ2b6ly3ejA+g669siLDbudZk8Cj
s6zva6fFie6XZsSGlx9Yb0A+AV95gi6olcJbVIUFnyqIsqh3RVTD0sljP5If05LBki8rsAp8uAYy
Fes0uCwQ7crUIXlgAtxN2VbniRHkypFmVbSLFnrAkHlXF3gQGrCYXHgjECCtQIOdrNPkzoNDwE55
LSV3eGBFMC863141KQE22jLsroluTXXmg5kbnmV5GoU3HLTFUqUmuiiEX3yFbTF24QQ0kPg0476o
zrwg8+tZV7KiAQO3I8scw2d1TVZ091EcWVdtpczsuDC7Ovrc2ImvjhPPSL53vRhkiCziYAZ+ACdz
ibtALXI7EZ8N00sWSZP7hcMoiLmubIJrmWl1JpIotGYWLrEPYg9OiHbqAIu7MjRqfx7jFJZJb3hE
nNA0Q8U6AYHcncKRSLA2mkFiz0PLgC/a1n09ByXTFGeorLDteiLWNWhaUptgehfh36Woxa3RgZl+
2gtdoget0k45CUKsPpENhqHaBAW9Sxvf9k9ygKVxjUjYiz6ra33ediy+CWtVOJypY5q0tXXcNzaA
E5lI9cs8jrLsPLVb+sHQJs3mQZEm9ZnfNXngckslwS1YIurBFCmIERCdqnaiQDXKEU3NC9ACXXET
+wWSX1DWE147PVhg3adcE0PAYMor5wEzIv/U8PLmW+CbRu3GTNnRiRQm+tgqw+uXZVUoOZd9BZNU
Yh2SqzaKe+sisfM4doq8Nu1zigLauh1YN2reBDmg1vBU+k7ZswRkh1LxHLWkLWd1jHm57HkBsz+i
rc9mndeZyvVyZRefG6tDt2FQwlwDTSfuYK4n6ioVKQIBi3MRLngS2I3TVl8xrxqOnCiq2ScLp0Uz
ayxf03Pqxby+LjwlSlDuMKPnuSSAJjgOXftBEh1lH1iZB+QKt2Zsn3htJuC92tbwz6PSyJtZojyQ
GWCNVfo8jj3gvxSRv1ABj4JZ05rmSVdQWPedbTPpUC9g549W6XPs4urJyH9ywO+zvCulH+jRn/+5
zRL4z78Hmp/3PIYp/vvXubwvM5V917+8a7nOhppGNb5pY2R4+jN3Q/hi44+tUMqeYMn1WlWx3nNx
fyTlZ7OhIdIArYmIZSLwhP54OdBGOOXHgVE/QmybdD8CKphA1ARKwuzBtId2sPCYlwEVOJjBgidB
KpINzcx+BFRgy54N0Zdh5wdUjSMMLs1zQAUym7BhF/yYYVTokQQRmh8cbuAJQaTnv18GVMauEUQt
CJSkDw2nxdB3euQa6aprCjAmm6vKPPVDF4Rqpv7BO4dKxw3/C94CzndjUCMztBkAk3/I0bz0bJBR
kjCMVH5FGhGayqGWiiInIDglV4FZFvWsyOw2+thn0uYXg2/zpfQZjj7CnvbODcykxafYzl0Fyq0I
YOl48dwmct5L1DlVT9yui688cCXizACXRxwbRXajzdx3ugDN+4Jdt1IdgwRKnCABzSw1mlm0OIUl
dmnw6FvcRSvD88Dgz0/COPzS1SFyexlc+lrNOY5PWACCEbXl97JiIAplM4sLypayACVoJCh2QDQf
F3UeuRULPzF+XBDlwut98W3zBERi6BCUnxZtuo4hMOJ4LXXyLll7uZk5PMm1k5ktdwpVLvK4+uBp
1sx4WhKnbHDk5Mz81qr0lFAjmSGa3tbIPwXX6FPZBrGDpf4cJZ1yg665VzY97WiZLoowP0+DtpmJ
gpGZJT3L9bLyBrKTJaioTM/9jpwnflq6WpGPcSN8t6+rL0ZIFn0DugKaWicOx/p7yIrY5RJnDiuy
qzSjZ6wp6TynhXTiqAiPbYiCOCDFfbcNq3Quc5w7qOaRQ/P+MwIXlACcTlYZ11ZjpE6C49smEbkj
ePTVKErq4CY/AZ0fXsS6QW5gRKfKABViooI6iPsffH1PwmwhKtuVSYNd2hbKFXH62etr6noFT2eZ
j05LXpUzXbNlz6z7XLYNeJjlWcXoPQflNOOh/M4TVrs+Bb+z0OLWL+zvVDZgVsm1LKzGRSo8DnAZ
zFDL3cxPrmqsvqEwBIeFasMhUXoSSzDVaa0XkoNPU5GwdqnSzZwapnCttLqqhPGp9ivlGrE+CUhQ
zhENbvxWF7OM+ZWbemQe07Kc1z6b9xngJ3h4g0ntRnUARpioP0dmbzuys7+HofjbQlEGJh8mC9JG
nmN4QXSeJnHp+qHMXZArn3zQqym18tMgIpd+zNgsyMCmRm37dx3GMHuaoprzBr4HY/3XyPZu7doM
nTpM1xQ19qIuzU+RH39SMsVOa3A5q319njDjuzb4V4N31LGjwIVSSFXMWg801Jz1dobnmnTRSY5h
9s8bWhbecQ5fQ/QCFbeW3/SOZ0cwy0UcfYIIojix+ja8sklzWxT42OjzdaLSExnlsRNn+QPYfIV2
mPTnleZyETX6rCpl+JlSPYttL3aVfZeKebvsgi78kGTgqRjGdVmFAiIJYVzImZeAn1w3/MxgbTYD
rzxzVWxZTg/z1yf5ss3IOVVW4rLSWBpMuTmsTYcE+YXK2JeAW2tpQpQYNGbh0B4tkjh366A7g9D2
ymirs0bL08SqvvoVDQeZc12maB7m6DpD5KRBxnXXsZlt+Hc4sr8qbs0yZJ6Jxr+CyPgVeE/nvdKL
vorAdOseqhpczoCFs0jpaA4GphsV2GGq1E7IrUWZ1xeMZfOyiGKH9P0skFbjZKIFf5sbjmcYl50u
7xIpormHFYTvgwUu2s+GWlsVzMTaZgtCQ5a4XtrEiSO8RqZuWHWGMTfrjt0xv26XRVFiN/Rb7Fo8
1/lFRMiXJKPGDcTA5qxOwVOPQ5BbTpTRvHMSqydL3WWly2MwNjhJ7qJCLUrdfGma+E4VxlczKclH
s7L6K1B4xaKMi1WB0UlQkofW45fgL1+IWPizNOHSsSJwfmVRc9cIY7lI+kTcUnBRz/0kuJG+/y3E
peE2URWflX3H5nmiCbyP2blUB19TDCg2wa2UWTgTxDitavWlAtPyhhskWXiGUk4O/Dm1BN0D/grI
gMqI7Zmq8v7S0Ny4tUPSzbpONHO/zKwUVrn67AlVzahmEPlKKz4rYj2jdl0f10g3Sw+XEKpJsm7Z
pGbg1nEuHF9HEha7tI6bWKBjFdXgW+lrRQO3sNEyrGntZIZ3LyFJ4fQ2us2t7EuJ2hvfKu0TQasv
mWgyh/q9d/HCFtmh2TeD4o9KdzgnZtC4mEOP+pFmt+Mqh+5eRXWV8WZuo8uQ39rAtQWRp5B+/vWz
Nq2I4VmQ8oHIMEJD9wnolr2p4JXKWo0b1Vxxb+5Fd0W3CIx/CIH/0yOG6y+C7RBZjuOmipurHBZm
ZzAnqP+m+c3/4j0g/Aq+J7SvgwTY5kNUEEVtmDbNFSlvi+xDa1wY9cmvH7ENC3yqF4+wNx+hK/BD
EW2bK8pvkmLRJ3oOVkjKVmH3D0/ajCc/g/LiSQMnL75YHNRWYmt4maLrHZTaboBPq+S8qed1cton
/T9E2QfG/5skeHoc5CjgEFATmmhbQwrw5eO0H7Z9qVFzFRdfkIYgtH3rB2dd8uXx+/1uj+T/mq8x
NFN8MZG2Urd/xeA5PazGrsYT2U9XY/AaIAvLIXzIKWEwfX+6GrCDmIGuAmywCU4IXHp2NYZTLMA2
h/ZPFMohIe0Ll37kbuGwGsATqjTggDHoFoTxa1wNCC1sTBELnABwMmzwMhiEN+G4ulEai7d+ISoe
VJeh1PkpjwU9L9P2jKdx4VpVeWcnyawIdXScZizu10EGSuVj1XUQT+6lC6HM+KMI8tTRUfdR+/Q0
U0m2KGIlHdR3kIOMkLGUcU3B9gwWPlhUJxDoNl0/96gDoQg/cEVdpIuEgZV90/n5VxF0mWOA2+Iw
iDaGbo4VPa1boz+18rQNPLfjnTyt4mjWYc841kb53RdpD+lP01t2KINEDIrESVz59V0uOD/D0o7O
OUkhzyBv8grMizlPOnORo8GwKg1zxmoBBivpySyOJXawLSA0gcRZxEo9L3zkWhrrhdXmF9wCi7Am
mVjUcd+C7achfBmkzXHZqAuklHB1WnwtG/9Dh5p5YHYzrPC5Sf2zpteBo8O8ciQ4PWAzcLepVDVP
AWHH9ww9h4f5370ms//u+rD2FoVVBA7kXyA0Hih0LMrqGuzJGx6aaXWS24GhP0qUFseQQXHTIrCP
C6tT6Y2tTVE6QeWx2iHMo0uCmjp0LM/6HnlVczLszFlWaRTN+iS96kJ1YdP8NI2Di8LEZ1wbi0w1
p0Ziz7IewhpF6phh71oyf2hSfC21+Pr/hcdjoML8ZaDirziX6XosOyyo4oF/t3qu+4CNaxQTKJke
2veCjHghOyDiwKAYxLKeqjtAUP2QHRyaB8IPWsuBwIeiDAhu/JAdHI4chSMnoUsJnI4DkuV1dR9b
2VHYaIUhw0+G+AGFLD886aV68UvWhCHh8aWBiq++1BC+reJvqLNOYpSkTmj3riqrObMSx6zZoif+
B9EVFw1PIOTdJMVJIsH9r3zDLVmFF75lLsyM3DSyxnPOssqt/e6DqT2w4QfvAuk7yXHuxij+EFjg
Q9RGeRxHapXY4O9WiD54WIITYSS+61vtWcvrh6hChcsjWIgghed2V1sO6tJ+boLhOSsTq51BpFC7
rBKVSzvTdnWWdos0665wZ1kz7MdnVWsRB2KFXwjkfWcQwn3ITPsUSgLyGUQPcsevVeQkPnGsANLk
KRNX4HB9rr3eh1UuIaYSGI0TMw1/2qF0ez/HTpL4nsO8E+LrRccyzykgiApud3vXB/65ZulZ7uVn
AbyTk3WyBBcdXzcyAj/QT+ZRis89hG+9LtYgh6rEgb5zUPShasgrRwZ3KCXHCemk6/H8M7fAZLfN
zq9816oL6d9oHOZ/Q+birutpc6a5usyJVssYNZCeLMq/Wx/C02m0TPLGdmhlgSncgEyuiIedwOPn
gY/vSKGIU0mI1UBr+HkUVf0MW70/7wVkBvxSgCeQVdfECB6s2MuWkCVxEeQ+zjJ7pdsVJIgWNLdX
qiPZsirNZVwpf17mTZLdCRSkN7EZ59Fa+v1D0wbXPTFBPFZ5xpyoDDhflSi88GB+n5g6NY/Bzs0u
cemJS5p46rQT/8PeuTVJauPB/hOxgUAIeDwC6t7368yLonumBwQCAQIEfPqTtHfW4/U6Tvj5OPbF
693q7qoC6a/MXyYioTFWVhuyw9AvJXcLVyYFjZdrv1xxTpK6tnv4yy+2sWkocRD0Z/0Bzdk7uDqP
O96zqPj3LPb/+5CEFQu3/V8LsnBGh/+1zOFFP5c5dC3gKS9b4N7dAkAMU+wvI5IbEgw6+A/U2q1b
6aca6/4LMi0eBYXnikBJxz/8vsxt9Tufc00Q+Hi2TEz/zojkg4b7dYreRiQgRQywHDINlAK3+eMy
N7WzgUVd+Ddmpm6yztPRLrRLSelDDWTdTvveyPtheQk9jBAmp996P7oM8VKlweZClTN24aEvzoPV
Lm/c5sop3Z5Hazums5mu556ZlMY4yGo9vi9x86WA6AJr9L6i5b5ZhpPne/dd25a4PZeRxxiJMJ94
l6aGyZs74ZOpYp2ouB7gD4mnVZcvAcxvDhdxTthc3wS5fwNhKYs7fQpVd6ygGxzXSfTJWHkRNJV5
D1Au86L2B8a0+9HmwanJxR7uxHskFx6b9XnGYMcrr/a4D6OZM1o3qd+KxJ2xUIdt8WzJ+LWaof8V
VXHwRt3w1oRYugoQC8M0NIls/euq7k6qoj63ff+jmwoCfUsPyaqiG1n3bWLz7qYMpvY01wNMHSny
NKx1Bd+qz5PYzcW1YdpNARFAkevo+iPypup6ouG3VeLDbUVd3HmwjHhh+o8Co9BVqdUxiB1YNl67
7IvGRDdGznUWhhbf2lhQ3udDnlQ15LgybwrIcITt5YQthfVw3Ogc5ndu7pP92pY573KpeN34OQcg
orms/TxzF1UefH9WmSOlty+LDf1aATKxGUajqzX8SkGgYS5Y6aiRO+q2Yketr7K+Hrz9oP06a/zy
gnHuvA7lTdWQ47Dkayrr6IdYS8YhHNHMMdJPl3EpMyLCZV+NucrcsoBKTcmC+bGL90PJsM/M/biP
Pdh9dd6D5YJRfo/VMNqPbVBkKK4qD64LbX2alM+N7zt3CoXjvF7xTruZQepkLttFuTPAfLARX3Te
Zg7sd/hplTwFxth97hWPi2dux9FtsgKaJNdD+64VNB5ZMCAfXUxPbYxdIicbsrhuH5H0mq/WBOVT
A9aAmyJuDssIPtObc82VaMhNEBXw09tVwHML8Rn3zniILNbswlILImKU36tahphJQwHBtnYO7lDu
xkBlQjQxQCWARnUMRR10CtRyWo7cKW2U9m2tEjaV7G4l8105j/fM1lVmvJLIRHnqGrTScICh/WNo
1veBTMVuaMnIVaz6KwlzMvFnlqq+Y0e2WHFhTjjtI9HQe88Zn2WsByd1h3EW+8KbCeFybL9Z/FXh
6lSw90vFTVR0e0cuj8SxZDcXOUvcKT41tccyaxfC42nEqcUsMBfWFXBOnsmmcU4OdQ/S958mUw4J
zkuPdVeewrK5tRBMHSe8MsFXEXrnUbPpdanUh2XDZaaOwxtsk2lkR3sZQaYc4ngouewxkeSVe/Hw
24q2OE8T/dEB5EjIqq5c6xI+xeHzGoHDk+UaYaqov5sQcB7YnaMulzvwzpcxkADHisnfZEO9rySB
Tj4VQToveoa8F4Zga+tjYzCthcYPdhBicSDs6pvRyR/ULL66evzSUiwPkdtOaVj1Z2nJ21wxlpkK
xsVkdL4jI8GZzQe8SKHOlwZy7Epqrsx0ZSL7MiLnn4YOvY3nMOK6DptjFAT4fw4Q08dKTUk76PNY
ugd4vk0yUbErXd3dyHhYODwllztznA5z/2EgjPNggmJdeOwLjkl1kOlmvmq84Zum4bEZg1dYvcFR
1oSX/foOQA0Ylp4PeNNqV3gQ8GqyQhYPr4sSq0ysHe71NqliR/NJE7hf7ABbLy09CZhP2jsA1xfl
GcinUr0PUXwIG/+a5O3eod0+B36F7zSZFcF/D96KSMrEyPGHkSG0HDtkk16OQ02LbAxV4tDqDsiM
g71gTJS/nItB3dWxkxJZPCowwAVrDuGomnSs5aOSQwJeoeeNMCGvl/UggARKWEqumYFke3DJ3A8x
NgvHPuYsexN5JrqVdQXVnjX3roRX8s8Z8PMMuDWH/fVstNV+fj7T+M/HwM/KsX8fA7cyGpjBDGMO
2qPpNun8Mh8hTQvpCP3CeOrpdkL8eQxEuxkgGwQA0H3ymyX9n2MgCikxVcEAJhh2IKqyvzMf/Yle
R34AVTlAkdFVHqIv7Y/TkRnt2NVYE29cfdvnNFvKMP3lQ/kfqjne3x9VTBj1Ie5lFCSHGOzof6mY
zIaVP4bjeGNoeZLhs+PexMGdoQcibu10bchvVyNYif/tvyNz/P/4jdtf9ItM681RL0GoQRRrR4dH
OPzFfDHaq7nOtbmzvY5O0xC016wKBDdsx8qlyzoxiyAbwMpmGCTY1xkNY0fmQzFaupamxGif+1Fx
CbR6biKvStre/T451Y94dl6bFQEMIAbASGFmlXm/JM2iAgxbRZT1yqmxl8v8QCu2Nwu8GTyRzd/l
rdR7scyYrSCVgToafYCCmC1xEH5wbJS0o7yPpukMCAJusZwuTifwLYE1rnE25FhJUrrgdMvsnRAK
7LHjH7Qmt1Phcy9ix8YdJa/K/KxjggOg89Q7JOdT83VawfmEBUi71WQEp0c50D1toxNssZkXTNud
A+RxD7LtSo/h+hB+ylL9p0SlN7WKQbYqN/2q+5SyVtjXbTLW/axvVE4vA8It1029YgAzw5rWo9+9
V250YcxeObS+tKE8zpW96mNx7bjV9bKyF6JiDIWOE3MoJLvek9+QqfmuHB1kNqBXc0vh0fvpVLWX
QdhsHJfj4stbd+1gAnepnJeLBQU0RrAth7WGShnYs5ncl270Mkp1jsFvfQoURkNRL9W1HJvbphr2
Y2Svq7U6uboK+dzCw6yG3vJujhpupsrldFGZKcOnblh6XjpuvvPqdjyOox32Cm7hXSS75aIQ9thh
sT2r+nvs2BtaRPdm7AknhRogI/RgNuuTUPJ2bJwHOzVwdPC1aMydkYx5WA/fw2KEr8DKOy+3WTzW
EENnkkIATim2bhgdBTftlDBL97afdi4V6cAi7F1uqrV+WBt6W4uuSyzOJRx88HQ/L8U9E+TYY/oC
6vtKqyaZw6B/bF3HT0rZ/2igPdQi3vu24esqFKcuTUg1fbg2PzcjSzGdlglWsCPYSpb4gEQYFBEi
8ttCTlc0KKFc1vvZDTIVAjedxRnm1aEPJm7WIQ2Mcw2hPvWsc8RCcbdE+cCFBLLiY0PvYv+Z9ibx
cIckXdVY3gRqOVSYvY69anatzEcECpxTZdZH09qCQzS5lr0GWOemZTnhshZlnIyR9xaP5VsZRle6
UyWfSyCI1vQLF8bWSSCm6PDPpve56XnYhf560/t8ouefN7ztRT8FAYQWgT95MZ5nBd4La9MvGx7s
FOwCPp5V5zM8IAUr909BgOBFyJGEnwm5T6PlJ51F/gX487OCP8aWCKvlb+13f5ID4MnAfomx7eJn
wa/94+bQ6Q7kb4FQVTeWAbCiyiJKFoQ3xJNFDznQEc6aVa22GLFgbLtxiqkNN9oC1rffRW5NhgfL
SB7/sJE59E7ji7e2qksXx4BGOWe8aSNOBHMkyfLVcfJb3HMQqXDKK3DvktGbR4D8wQp+HegSeGoe
NuE2MwM5xGg3+DFOY/2CVRezquyKA066YKUUuFXuz0iFHToodMDlgXtw1lnV3+RUjR0W+MWGWR65
mvEqYqm7DqPzEWBe3v9z6f+m+eNi+etL///Ub991/+drf5uZfl773qewj2fhRhTsX4DZ7PdhDzoZ
FCgwiNs1/KtdGGHWi120MWyVGhCrMCH9LvnjATIBapTobzpZ+HeufQz6f5iMNi0MPKILQWxT5SJE
j/948es2WKtgEebGVf5jpc2DZ4JzTc1dNUOeshMtTrmLYzihh3JZyrSuKrETE7PJMI+Cu13b8XDB
XoIEwb1LcdAt2pBwSweG1Z7cDS6gGxrjZzWhLjIFmucY573H20I99CGovbXRESd6vnI6kHp1U0I0
WicnceZApMiBlJmaPAd6nO2u3aZ+xMNNg6twWptL6Xmg+pjXwW+D3OypcE8NrL5o0jZhBYSHtW8e
iyaCD+jUwN16c+zaYCeiIcepFDGDkNYfCKM9I8jjcOUFB+07D85aES46c7VuzP4a5O9YO0reBeOS
9NpmTX8syYXk/vepeOv9ZIhzzFgQtuw0Ipi3jhjccG5PGzVXqbeaNmuX8s2usDywYHwfB3siQ2t5
7OIN9ZM4mh70khO2fGkyZ72MAznNNPoalOyo3ZLyeMG5GOvkpc97HNvmmdMJw56eyU3FesVzd8xI
5OIr8UPDhzw3x7CnLkc85x5zA72LneLb7DV3polA5ytfJZIUZOd12uMmnMjOZ7B1WgFmUVV9mYrK
Et5jOMMKeFxGSXkAZK+Mmvu5MpDf15FknY88YWRgHLMYQS8Guj/Lu2F6yAcXh2ASv+SOLrmW7b5z
y5Opwkcar2/EyZs9Zi0+wAIopyJOtVeAoEPAh7e0PVh38hI2dCef4L2sfbeP/bpMKkEa97alQ/MQ
iQ6/uN/QI32z0h7Yj9VHb3I2Cuwt1lLzHuM6WD3yCuz1qoe2mDpQjlJp/Y/Zjh9TuCw7M4D06kwk
DsgMvde4RSGvekVSwV3eSTs+BF5uznXknqay/NKu8XntCHxTXey1dS7dsrTcuJG7G3JBuK6E5b0x
10O54vaZHotcvHcFKNXGR0qrdOoHsfoFn73xpfPDY9UN+SEK9AnurYIlxOpdBFaP5cFTX7gFDiMN
luxyfcDPtJduCiaENrTOhpz1yWdAZ+qRtCLx9uXN/pK4TLCUCPpidNkn0zqO3JimORlvnJPZgYBT
LBJ7hlEQZ2ejX3NX5IcGQ+htyQIIbT7Iw2Yhu2isnyNvLUFdFchElJD1PC3xBbVNJlQ5Ip9RSdzt
g3c0EuOnLlmR9t54dNfIPXZRcQyJUHuGv4V3zF84lsUBAC6CX+Wwct01Bzp0h9JhaalXsHjlACZA
OQR3Gh0S5HdmvtAiTOPcpAMlSGDhHyCa3JZ5zLWZnshcnoN+PGkfqBvtH6ZwGvlq6n3hiIo3tVh5
U5HraR6fJJgzrpbitqbjXZXb56iar0y9vhqBmEiF/DivdfmMjOWJzu5hMeZxiDDud2Pjcui8Po/V
fKkMWD2317t6iQxkoPlKgMGrcJzLZkuy0GtP3jg2OFGOP2ggvsqc3CDICq6pve3KEH7lZN6FwDlq
rNZXVUBDpV0UZQgZfTV1CCV7EWAJvPZRF/Q8O63OJoWrBkHrpXr2MZUcJGWNv0dBopcVGhHBQOrf
DuX/2Flb3c1fb+EJZODPjlo8dOB/bOR47X82cnSpbA3SkFiA4AGw+WUjR7E8elh+bsmboPNTtYkg
zcAEiwM46+h12IoNf+7kEHQI9Esc1n7b5f9WxgBZ8T/t5FtoPd6sLZhnjOLv+1XjiOtwjRssFDdq
kojXJn2n3ZOaCT01MJAQO2D101Lm2PRm5xI1ODeXQT2B7GVp0TguBx7+OOfDuYrmh8mdL4vAptcW
LOZI3iBCJVckU4dnWy/XYe0fA8m4DyuYd5vfPM8n1oIenwEByBXCQw3fwArcsSKM533v+z98nPNw
ANv4E1ktCWI6XtZXTsfXiO7GsowSqiC7xqb4sjDcD0bRJYOyW6du3z5ShhWNjg5AWljPPsbwZLED
mM5uSvpGvAAMTQePYYc2Biy+fWdjxUvR1WlAwm+4CyWIXfnKkILjEKeOPvjzsYPxgKznK8vpPgrb
NRHW3xVRj7Ha1AePTUE66ehgZjBTC516RCTn90WL93qYIY8VHQDb4Yt0Y5nUtNoDbDzC7mh2ZLY9
mhwgFUd5+z13KYR00ry2OkBIYVPZxTh8MOGt16Za3mQbiDMUeITNAyhSMBIyp4nIvWfCPqWIKidy
C7VpM8d7a6szCbrpSxRPyC6MqA7ZITKfrDSUGRWh3qnFB1OM5HIWFYXL83iF0+815mpxozmt0DKx
i7App0I5SzLAiMW2VRUwuhCnXlwpssY18ixdrfZRbIcHL5jWZwxkRapdRBAro9wrbFegP2xVfdE9
lk7YA+x1MnV9b3rS3RbMk8eI9POliwXUmUVpJEu6Hs4NpeVF2KbdErLQZfpVeRy6jHifI+lEiHQ5
3bHx3LsK8lRWFLZ9chd88HuBXpCvThnnP2ikxqzeGCs7LGNWAbtaakyAZiOxpo3JMj2yp4C0hmXF
p26zDvCWAcSFmHCcON143W98l9hIr9CdsCZv9Fe4cWAUQBjdyLAOUlH5yYoBGkO0OufVxpE1G1HG
NrZspRUBfA7eLNzIM/0JoUGiC3+j0sCn6Y1Ug6E3PccIaB+ZVpBuNqLNicC2GUBu80a7Ib+bzhv/
9s95zHURtdikg79ezB9HfIz1/6Kwttf9XMihRoAzAECNIpPPo9cvCzketoz4GHrSPMoAT2K1/n0h
Ry8tcr7E+y1hhp3h94Wc4fgG2Rzi+9bM87cWchbgJ/2XPI5ac4YqRTxaDGDoJ77wi1hNpqCvHV3X
N2tQYAwmmPZRGjNXuOwahHSmgFGsbOqKIi+6w5Z1cGGryXa4KUbn2Cig+ta7a4iTjD45WdO+VSP9
IoxKqgYZ1JVc8pge1gJqRuVoRL/C/AsU6LtJiCoDHfoWu4wltADUKMC3JyswonO94E5VCJtikhua
F+0X5xGU9QU54duoQIIi1rGLsC/Ir7h6R0PQzhfktoD22/ZY9BDlfLVkYlw37CYKOhTxjJBWK2Ll
zcj0d6ZxVAjmArNpESKDNFXkGCxgLobw6Iv60V/mj4WuV4bG70qYR7tMOi1VvtdsPDPAD1xP7CbQ
4UnBZ+VxETz5Dlov9PDVFmxnJrRZ9AR7jY2jW5AZUGT1DQTB69KWu9YhKOwIrMQ9j2Mg6Z2XGOgC
1yus9qC8FD3I0LVFTCWuhiPkyI7XyFXssDXWOyxKX1HpcBtM44WOkb5uuzswb7u6ktkSkhuge7vR
n++XzVHdOkH8nrz5BGu6cl7hYL6gCGqHvQ0b32SDg6/qd7mMT63j+mmNKAvHtHu9TPjoumq8c2cB
Yq1i9XNH4VubaOBDBKvd78LpGhntnbACfnmA4/kyTg/I8WT4Z7mTzKh06JrnEX+G6HBKr6SDY6TV
+0C6+Gwikmh3OXcTvgcUYIS8dCOFKT9y+bL49zLSZ2vFd0j6sJwZe6Sa3Tte6CfOwC5xDeBtDMIC
Z/9OwZIu7p1AHINyoPBGsCTPXfkIb/1b5EqElOu7uqi+l03/nMfY8AFL2yTHmzqgPsgmsYNaJKHn
PAk9DwkbUO5oSkqUlhXE3zFdY+RG1mrv0ulQeSAu0D60ZJ4ZPzBrtSllGAjcsH3Vus5i0m5kIT7t
DWBOcr1CTp4JlGbTA/aNIFSscLg5+oDaq3Xpn7q1uhftiFHELXucXXEqkTP6NeqxATrQ67MLcf5C
apAskXmVLLzA47pvJo3mCRnXiUPWdQ8JA9ig6O0uRqELmrO8r23TPUQTvvjA5ukSrNfuKL6LyUEz
xRTcx20EREccrA/OgQhxDDfoL8BFzwGi7+Y1UlsPDWJ8eYVjr4UVAaxvSpx1ecv91SSQ1HPkiPBq
0NOnYQK6UDGUQEBSIKqWNzFz93L16myp7p0S9gPOZlO+viEc/jZMyBDM02OlSDrO0W3lwciy+UoT
JOIwrkjneYkQKhxUmBXrsCuWiZ2kRLS/JUOAr31Cl4WzvOF7XU4If2W6bSnURsyXnkM/vNlcKde5
mkH2ZTKCwuEu65te5WFphyDRKPDA14UsIpTKkC89cG+vsw91aHXSmYEgEJTHCZBV/D0TDG874grE
v//hqRnMOmBEXlGMcZFy7rvR/TA1LgnKannSYfjU9t21QUiDe4R+tK17Ezp2Z8qZccdTdCMKvR0j
5a5w1/4iiLufG4pvG5/4uWvwpqsGVxOqQr7QWumddrAGo7cE4a8JoUoUrx0EZfNBk+WtY3DuYiyN
tJK7zh+dpCjoFeaRG6MArsDqjdJFgoUta8tzqm874+7Lnj62K9ZKTR5I3nmJXqMe587wLc/bE5Dw
k4c3l1rpMo5M0ZPDVpKIUnbQ0YCA9wEu6sqILxNbv/RDd18Ymh9y5SAmSDAlYYFDfc340EakTntM
LDD8dBr54BhsKBqe1/172SssFS3gD/Tw9Os+74qae9Q8LsI+V97w0nebfFaNL1Bv3APxLElBEBbn
1ZRTKtEZgeImxN903i1cIabXm/KhYT7gqlFDSCJfbDW7OEaXqOyARh3FFYCzlqECx3ue2J01p1W8
WnmmhX/XlKhGCNgz5JIniYQZI82wZ42+9loNDlgRc0Az0AfBQo9+gfgWjTS4takjDqikUzxEqwgs
Jwkkn9IUma+LadX9FHuQeBSWX7lk60IemoCdC428Dqykl3DYeNJuOHXD9cQWhIxhkOYhNHo4icg6
x3LvdT3srl6+kGXdK9WXl8bB8r86/VW8hM5uWsYKBUAzpEycHuHHRfi2BCoR2vwUxJGDXOVGn5JP
EnUZfQ8Imv6INkzVNjjCIEJdB+FLuUGs/SAB1gwdUnzkE3I1+J5DeKGHPBoyKUUC1c+cxLDGN8Tv
9Y27OuA9zECPU1hcq0+adqTLsl9nhA6LNuoybB7lLu7yXR2QK68NjliNTkzg0oFkDV3VWVOnp/6z
DFusEFOXc2qcQ9HRa0rNphG5H/4CgGSBELpA/luK+bC4TlpHYepVLt46/kbjE51Ws/o2y6rhoBX3
nlt6kDAA1jU5ey3mekKaYygz2xVZB++coxBpxyYHoZOQnXN82O374J4IFfeVCA+OYz34euGN384i
kWNNkkq5T/j4sYsT9dHO5QnVWOGu7ea73rB9idqJFPxos2tmt0qW3m1TCWgfmJJ9bUAFgb55COiS
MhU81XF3uyAGw9laHS1lu16q2wn3CUfMbgd59hG2/TcsrrdDbJtEFbgEJOvuEbPfYYEje8RxsWUT
1OEVntwwpkPDBo/HZX0TxjAZK1GMGbKjS9bPkMKx7qu0YGsBwNRk9aygdjIKtE57b6vxIFJZuw9l
icU5YtcYcl/7HkVpoQoTXTsZkXMS2OgLtpbdZL176Jpn3LmH0NvEKls8tZCZYd6qK0uw1VbAf8QA
pVe/BC15tQIFO0ETvhhvvtIzAtpWxg5ESeRO4yB/xhGmSYijjqs89bS/mvN81yIVn44yuisCHKyY
w57Gdrpa54K7jXxXNDh1FTL5xl8u0xyNB7SiDFkzs6uaRE3CaiyETrF3oRKkXUAPlfYu1l0ROPZ9
uPBrnzD4+6Wt61tfuGuaIyy61Rt56VTQlU9jDBcAUQoe1A20AlQ5ZtHaHwz1kDt2y/fQYoaJ5vE2
bA10MbQm7vPYmEvdgbPofHtWMH6xKIl9pYSzj2tbYuZE6B/OnopW+sgG58RkWO9ZoY8xpq2Wq9YH
mLlOMZP8n+PY53GMQoT66+PY78/W+rOytr3y54EMvHgQERL4m3LlfR54fuGhIPSj8/T37MvPAxma
cjH9IJz3b4P4F2Vte1g3nkqA+Q2NGORv8lAI4fzhQIafFOE4hn2H+dBZtj/lv5Q14WiWR1F708xS
78jCIO54ykvV3LzI3o8yrwTUgZbAKlFVqCBkD8cuID8m7WJjrGt7siibAzhdlengjodc51mAzyPF
Ao75sBkBvIL8LcPy3QoMpgSpDjA5NeT6YWqysA4i7rRLfFt09VPQY0ToLIR1hLsvC+p98nzQiStf
ROk/1rVsbiDAO9s+YRHoCEEzzwSxelW8CJpXqAOL76IKU/U8eh9YzsZd7jn2seniA3i1c9nOy86d
YUSZ+b4j9mbWrToqp7ueMF7mYBkD15TJFMyXOuwfChP0sKY1oFW40/ng7ys3LhKRm2+LJJD783zK
QozW6CsT+1x2D0ht7IqZBhzSPbSaXh4nFX4lBF2LKFC4nvIOCZ41R1FPB4Vurg+FliSdqxGNfX2V
xsF6L0AgHwKH4KMZ5XRWckVeJ8iv41aeUHkBKFOpbB2c72WpYi67LuS5lnu74ojXCTCqzoTaBFLA
5h9XVJKp6NbPG7QADAR1SGXLh8G/L9vwXpvvXqR/hPhxI9x+/Ci0jxTEvBUj6u+MwGpCwwE+hr/N
NLBKfOah3WBC7Z+iMsFueYh0fI+qE8x7Nbnq5nJGkyhpMxlokwLo8/Yr+hfpijW5muI0coKntlni
UzeVhyocZMo6ce1uiE8kKlStqbPRwy3K+9JBgT23zU7PsLdIIF9iaui+AaOWiK2MI1YIPsvwaumW
V0/XO9ogy22X9lj70/1k0P1GVvuB34zSKl/BE+vITaNrwLlkuS3nyOeiKq7i0RGXye/fSS9Cjs4r
7yg3FK5w6jDrkLIKsqWBPeKuu2BD5/pyaq/zyQlP7QbWwWiCohl+8nZ+2zk8YNF3UEf2NCGDFYkQ
NQzzYfDFbgl8m/qi/xJTWyC5BZeoavErDDbKsUIcE+0rY4CPOMKa7tTF+uS3GtKIt1ioweFD1LEz
Gt8+VNFVKamCeyWK/MxQ6bXWqA4ubIrWzSarGHaXxhTfy7WNj4MOv8/hhqVHK2aHKTYQ9czdgBYW
3IhXAnxaGva2xVmiT0CpOxu5jAJeHI5EHo0cAQC8Yp40b2y+7EoifqhW3CqwGimtUTo8FaNO2Ei9
VKzq3HmNm60u6w454lUOASctmpMtPZNK4X0pW8TNQHwMlwJdJ1e+7YMPYP3Vo3ZhjKopQuUeUQVC
Cv/sTp+700bP/vXuhKLut+mjfzN/3py2F/5ncwK/sVWtI57tQ/iiv9o+LgilAObNJ3QbbHHJn5tT
9C+UQSDKxCAHYlsL8T/9rhZGW+4IVhCqcrcw+N8CODZJ8he1cNuc/C0xhd/kolUV9s8fN6cmBw6K
awMnAVflhxZ3R5FDPegxA43htCR29MwFa73e+y7KRWLMTE1JkWdp6vd+G6eMYw6wSIMs9jE75Zb5
6K4ougRJGvBGmMLTYhvOwo7hmrVzfdvl8UuxjXBwIPxkxlSHRsZLjykPix3yMZj7uqV9ERCmkrWL
rtZtNAx1NR1GNZzyGgN8hflxxQkIG0p4xTz6lG9T5oBxMwYcnDa9BDjSv6EIoUHxXf481UHLLQqS
UQn6uVSuVwzz7LwNtjhzvcaYdNkMLBaTrw3VoxPUV0Nk2wQlgU9NL5AMICh7FfYcrvS+wRRNcueL
h6k6x7kIjEqYGMzbbahfMXRc+/+XvfPYbhtbu+2r/C+AGhsZ6BKMIiWKylIHQ7Zl5AxshKe/c9un
qmzXqXNH9avhli0rkfjSWnPFRbqK7WknJ+7HvCje+5zLb6nads1lDlONPE75nArOLmEOm3njeeXA
qCXRFzIDtOPEvSBCfKvGA0QHN2POlTpaRn3HzWibMktMmWSuzPQy0IyFNtj5bDB3ZMO8HdUgQkm6
nZhM5rg4JIAjuaR1t87gPsZNGAGHml+cBI9pMrL1QtxD71HSnZgJj6TScPGnLZd2Kt0tYtOriYEp
XmgovN54dOJWB5RohIFT+edUusZNzsA1edF9c2PFBwcBiwDy48xcDYnZ3CYuTzhgVJukX1KYRL3c
tYP3EjscRoYGpBHLuR0GYfYlRfU5cx12s2qsNhp9mzMkzgL3Wz/vEwohTtn0U9uaH2DMPrDPsa9g
0IzAJU5q8pyFLDYp1fPJtDPIsLPHvZJRtWJkZa15yBlh7SHetl6E+gE87WZWc64ROfPO+2YoLe2h
34xSuyT1+MVfsrENbAF2QCAlWRpGLhdxiaWxbGl4qvqOkjAYIfIkz/XWluXtDaVQqdrpHXDqA3ew
NZetjVCIA166vI58tt/SDGKldUEJ2zDlRdMmcwfWUcAB8d2gjulz1lSmnd/5EgC8ESIUR0pT+s4p
lJ3O/hiVTR6lvC9c7lkeqqitqdQ4NMhiqymFjoDAeJwR7YSId0yl4umR83hK16Ng34e643uJQY+w
BkSUYSEjicRyrireKanSCJlxfRsiGooLIda10hE5CIpyinePwKirLixJ6lWL9sjzivAwOdXNpCTj
En2Sb1RfrC5HIINyqbCKeuNmXbbWJi1bU6UQhtlK1tXY0TpetB36k3R5M5Qiqj2l6aFDJZVUDZNY
yMtAFuH7rKRUxtxch0pcVaKyQry9L+nB0NLHT1qUfWQDbxmjpDeu0Wh1Pm5yJdry4XmDkcwfwGp/
9ZWyK5p43ZlK7FWV0caCpER3jJKE1rE8acZkX+vIxLSkaG4mSc0EJJ1uXH8J15PSlQ1hWAVRi9Ys
HuW1bDNvhZsqxRmW3Mctr2bbipBH52nMQZXfOPBaEPDzcqlC1lb6YtLqF3IJagRvJldN7Hi8seKl
AR2mdHGQGEJ2Qn26rpre2nODxUMZX2Wwnrk1NpfCMo85QjsRiodQ6Th0Q16FStkBhWpKWEC0bcpF
XW9fMt/u4Ap1pZMG3ZBycpEpTjJpFgYSpbAE5JF0nIKj2Dr92xN86wlMKvHf9wT3759bGDBlX/21
KVAf+UdToJSbgBdANrg29fdnUadHxULT/P1vfmoK8DyT62GAm0YQ+qMWxKPJ8MBTMuai5uXq90+a
AmLtf20KXBcqhAJKCMsCsaSahh9OiDDzym6pJqa33BOBNST11pRxulH4uMKd+m2nZaiQJtuSr2yk
j7XSFjjCc9VjHswAnO51qDQIkRIjePAeirl0oQ4kwKb75d1W2gUI5XgTm27jpiCP6zy8Z+3tXJeS
KjlL2GQ1j/QbiFa4Z+KnPh43I7ujbeJ7V5hkr6xW/5pN89MYF1eulZ2bvKWOGXs/iVO1R4uVF7dm
lsOgssxmvp6E1QXwheOVZTsfqWs9jo72lkntY5RxQy89F1CtOZowxnxpipmrvdBueiGZj0Bcr8YM
QwPbnU9zbKlB0lHTHogFOTBnDXP1FBfVxXCiDWT5jKEF7mQz9BJy2W6IrqPk4NTmXdM518hePhZ2
3nN56+gQZM02u+HRvoW+91w0DE5G+Dku7QdpI2MR6dc5stQq0rgA5Z9X3rAInK7dY6WxMJyHHpdM
HudA6vNphf2hWbfOfF9Evb3u3dHad55IA5MN5AZOjLtaKpq3gtma+TP1N9zf8JojJsxi6gGBAbth
0NI7W2c/McGNX6Uz9iM9seXarjTzum0y1pXVyLzpgctkic2UO+Hx0CqxG6bugIA/Wbdmj6lZCc+G
bxq0ElN6dG10S/GcdjZ+nLxoan58PAYnE0CvnBJ0sbb3FfLmforlOe5ZhphF17vXfQgr+60FCf6F
I4qrrX1sPQja9HBrdzDTXEEb1i3wOiJjxuDBUfK6WIzk0Ru9J/bh054++i3D4g3uok7OI0zxtVYP
7daYvQe/HA9mYe/qNhx2OR6vfavrj9qAPXsQo7mZwqXcSTjbd5QxpMrsWs9d6a8bwc/SxHg6gSd6
4BXgBthXyfZo8ukWHjpM0mGsAVjKT50hnKObGdhs0vij1uMJuc0sqPv6jeZVYb8S6PcLzdYD1++H
fTuE7d5onfy+cZr8LCu3fMiMuV/X2DdxrSLz8/p13zsaeBXqVgTYbnLKDOOKhkzLHKpVX83nsYd7
odFgBgVymI2dGLA9oGJv5yR0rvpZvE9hHTQxosbZglMJtY91C3qSiBULDmxLO+CcGt+ydOTqSXni
WtOXu6muss+ZadP0E1GwokG/ykY2+mhn8KX1/mKt26UOV4hC2ws5B+Epjkzv2pMzTn3UQr7SDblK
QZQqLdGkVEW90hdpHkqjTscdlSn10b/16Fs9MuB3/X09uvmQ738FkoEC5KP+qEUMqMo+wPjHGRRh
4g9yFp0dKVoSKBcqHUqBLn4fUCERGQ4VjAQqBYHXfxhQff4/G0cMCiVUjtgS/gH62PwW0PMnso75
FOYZykefUCnGZ76Kn0tRSO0x7TCZz0l5a85uH0BzgOjd+4/TYowrMSPe8o3y5C35HS/kTzNa4MDl
wLYaY2gGc9JBX+99BOT+Gd5IhZjZ+eSDaM0H/2lZmkdsal+HIdo2GqiAxHdf85q20escLPAjtH2j
OFWjOQYylP4qW8ybUTRxkDtC6ZOzJydyFg6wTsHlvQkMA79bZdgvWe4+RfPyCTVCGYSZvx+b4TFL
+tvWt25IH9J3wgcumE2PFVqFm1D2VzxUOWNr3VH3Uhj7pdwWU8X3vKCcZ63m4Q/04i3azXCV2lyp
Yu15qJPA54puG/5NTojJAkV/XbqgEMISG+yCr4Jr77bxcm/NhXGlW/oXTpJnzAsOz41mvl/gFScy
NAO97pi2mUbt1ISW6dDbR6WWbnzNfi2WzNg4Y+hupkTkV7x7eQCOOrJq+AaTC93TG+U6JzBnTZjQ
yhtBpJv6cO/MSJGX1n7i3tRkQZS01r3vDso9C0UI8MDkdN3yqI/jwkoYXU+8toHBKZtHL9sbogRS
B3RZlFvrsFqKVSOTk+fITdbNO5FPwE2ks4EUBOEiijAMWjJwlxDdka0/Wi5Lz8LlbJ/aKAg6gr76
5Q3hXbxyOl44cTg8kuHxluQfbcg1yqLW2VaHXWE4Tq2b8rAu95UhtE2c1UCiXHnti6oIstk8Iox8
ni3nqqjZ5xY213s0lY9W0d1FhXWno5EZ6/GAL2uHZCfcJzbzm5aEexaHjA6NeeTiC99Bq93DrNFw
LIX3pMnWw3ylbUff2IlEMlXgRPDC8bD4dsZRn+HBisq1L6FwSEJykgSii3CX29IIt+bAyKOhMWzb
4WnJ8+fcNr5CsCvYJjQvwqtOZZg9zm78ytH+dooBok69t89KpOxtCY6rivfhlLpBbkEemfqrghSh
wEiXFwkbodSb935ONszcRz9NwAjUr06CVzg0R2RhouTS0OYPg9U+stCXbFzpJYSbHbMJcubCmbB3
XxvyP1bt4Fy3bMaX2NoJM+Qkrk07NJpBMQxvthfd0XJsXb08424/T7XweY8txin1WH40TnlaMpax
ZrTNyi9ZBipMchDuxnBXJaMSCVioKu35NnHstcd8RK4BCqje7V6WoZuC0DHeAa+UDPRZHwgwgnqO
npmdy4OzIOWfqpya3roPZRkdvUa8Ll58jZD+YgKy1QV3ab/xv4SF2Be+x8vIbQ5yKHgBhg95ukyb
MDU+7FT1alJ/4GX8wgKePU9Y3fSJc+l8k33C3G7Yid1WIdqKotPVItgABx2W9ip3Yp9hk1OQzSH8
ds78uwypFsaLujmEMhabAojgtnT8T1PYk+7V3IZ6OwQM6eG6G0UYFHPjb9rUPtZeZ92S4LDT5ipm
BSCb9L4u9c/hzKUBsg9IoOpkLtEnvdRBJw4zQBpf2/SZcRMDCUWDQGzGnHvlFsnaRwWABK5EnCEC
gQVd9I0PTRxGuuO7GDBsUNeh1Z4W3T32hn6VDOCE4/6ujaRkEWQenMW6mQbtWBV8lwn3lbpnqrUX
zVrP5NulcTFww7f+NSR8DzwQTGt/X/LJ5xq697+On+qj/ij5BPb6NOKEM5ILp6bFPz2Fxm/Y+JjU
CC2wvtFEfyj5lo7/lgBnyLHiJysCiEHVO7iMst8Mh/9IwQok4q/j5/dxFgErnhRP/f0P4+eE8J/s
m9A6Z0vtzgdQ5oX5CQRBH54NDONFATBLM/bcf2CdDPH9bEVIxihZbC4HnAghF3hgxNlm8HtrDVBc
7MXI8dSbTAhXsnpHiRNxDkrel6ab1oVJDiISEFSdEbE2YXqbNoSJRCEPr6JD6uYRaOLNyJcSn2kJ
hGBI5lfGU14r5CZueyXNAIZewprW3eRZ6s4lMcudkxctd9R1KRdiCKAhSlHQ3abVZcFKVDnVgR0c
74i8IqupR4LnE7GC/HF599P24jiNIN3CQOqUG7eG6PPrwVqqLSlGJVKEvCJArPlqhtH7kEIsLDR3
088f7I1tFIKodjQzWudFeT0Z1nNdRrjNWGgDTyA2juV+HWRMIiuzYte/eH4b6HI6mkuSbox2+Ri8
cDtU8qj74053QZrW1a4zu00LCAFCkoRGROVrpfnRg4fJRixTyHehnZ1K8DGLPbpQHENKN/2aBDHj
KdZMntf7AvjMVKUPOTCavi8vEC+OMZAaYlMI37GLi+RXOiiOjZiSttz1GgOL59RXul18onziPHTD
k5D+iSisEsdHWDpX3Evaiz7B0HpD1BIZm86sovKiLf1c7wqd0T0SmXiBouqj1ZTZZ8M2AS61I/k0
w2cMI1swI1Ewevx1MowfbGW7IGWlsSok18U5vrHK0NtwvJi3TR9/HTW6ktSbX5GAP/TLdNGl/kZg
IryH5TWR0AMcuzM3bmR9SYzpahTR/KbuiiuIukQUmtwklKDYFtjY7PZCTtDebT3tRMl9mBO+LdC3
eFIj7xxOKPQQf2ELs9dD3AMlyhx/0zuz2C/uVz2tLFKv+ifZE3lU1NwJcyK4ssg3d7aGGIc4nqlG
KNAyagVaFX+OsmYJeN4vW2/EKJvO0c7QutdkrFAhhk5QeiWi0ZmjqdstuAXBWerE+0yjFeKZ1G7n
UHtpUVmxytBhF6WPrCgiAswMF7coXj0SEQns2eduxranr65KFpCrmHi1ofFsMCDZ1y7uz3VhvcsO
aFaOTzCb0xvck8dagVG4KBzB4bsrdmAySLGttDE1lHZw3DUTOT99zP7U8PP3MvNeF/j7RW4fRBe9
mplZ0806XFhijxREw350tfh+wvor/PGlia3kUMf+YZmaI8fX+hhW3YtD/8okc685DkkQ3lnzu0ss
nI/aWm6KokV2xGtzcWjBa70c1ujF7iRSoYz0qWhIdm0a+5ts8kskF5Pz1snuEBvpcBd6ku1TmdPA
j0en77J/p9nvpU2lfv59abtX6Mj2r6VNfdQPpY0qpRumbRLa8w2U/YcWCCCERfHiBvu7Ae/PaZYJ
VocvoewSjhL8/HFuxUpPoioYXnz03y+x/2CcZXr+a2ljztZtA7g2SB7xixZIGiDEGs2fz7bjd1uh
5SW3FwEwNjMxJh/Z1U02c46taSBGyvp6xEks2E/ZHvWma7nwJ7GwT1M5NYAJEf4NtLFY/fFszWa3
NfTevwG2U+3ZndYXw8KH4JCMggEjsnddWr34C/AVzRafy4ZTEGljlyKBpwhnOmcrJlGxRO4ZxbgM
ykri/6qJbcYhjdzDA2k7oN6AE2FcMhO9nywYMAsYR2Si2ntCPSZU52F30LOh9CiRpQ3jMbsDn/Ex
Zs19xfhWF8raJhztkE7adBX5eR4svV+fxeC8AQO98xv+l1DPrkFfjWvLGNbdVObrcPTBZvOjMY18
BZD2IrLlqRjqRz9tjkncvQlWl2ld8MUuBNCUZJxaNqPVMNrXS+19IRoOTedMQB2AyCOI3SrgWNXQ
PvR02M609Vm6ZrHZrWyv2vJs2LhaA++tfknVecZVZMskLtoNmWOfloScQ0U9G736jqsy17bUbLzb
7hseTVOkNPAExIgI9qQNNdPTW2i21c6glvI0QttKu6D7W51au3hesrFdeSwnuw3cFt1h1/EELgck
mVaRUq5V4fYjqtOoavlAI6CKO/fHjVTlvps/QtfZGEattiPRO3G5Xwc3qsDo0Sr0qmnQVfvg0UeE
7ewgdKa1qNP6gmL73VNNB8GHURCrRoSEDXtV0ptIo39K6VUG1bQ4DsABDxG2ikZTbU1MfzPQ50yk
2Paq8ekLUv5UKyRVU+Sp9sjrUPQkWdSvUSCLvcuBeVOphgpdJUdw1WPRa2Xfmi66r3D0SElTDVlP
Z4bMP+JUVb27qmnrJi1BaRCiVe4raz32WUaepwW2SjV8QsdqM6kmEHLnvavawgVN1d6gU+zxggTg
zXGSTkRYJg3xtaZlHXNtvDg6ISWuGXKZL7wN2+RT4Rh72P10LZF/nkoUwblm2IEb6wcRgRhyMC0g
xmUvn+bTuZq0Q1v1LeaD7DNd2HNKn1rP421qDdNaj4oPHlI3rREVq3b0bjDoiA2gd3BcXSlBX3e3
Zm1+SS3sC0xcmHfmT2Pq34BauKd6pKwWltechciq0+xo69kpZqMI3XAfEl9TNUCdCCcitesjXWSz
B3+/W4bRVewj4BncX1d+lNxXcTTypk6AkdbZczlWz3obQ12Q1jtK2LfSgRet9xWoaA6UCIrNa4xZ
T2mrHfVIXnl+IejF7I0T11chBlSiieFwIz9cpb722jfzzk2rU9UW+Wp0VbGP3Jd+wbKfRaa/l7UL
7oaU1P2I7hFegm+djazyNFS9LPT/XfJ+Pzr+TyGSogauPghE+29Hx5+VSCxRMfTRzfLfKl/gD6XR
sQja5OaHUkkBkv+Y+pzf1B4Xu7j+e1zF70IkR9kgyaTg0IWmlWL7jxa9rlrk/rTo9Q1bZ7qkNFKM
bf+XRW83zLZNgqx2Ax4+xa91kAlMjDJ3SvZPfbXN3HmvdRaMsbi4MMDiokmobmNDBujcV2t2hoel
xalSpwNyDcfBITDO4bppvJFRqftEnvQToa9vtWiusVEcFnTD1KO83VgVpLvafIz8lnmh4ARCovZk
pCReNOZnByKsdB1CJ01x8YXGJdALbaSK7bOY3K9obKZtOtb3Be2wqxesXQlYXQ0aSxNsAi/WANY5
0WvQN5iHUsKlSdLTtiV+PALO292YkTNlhUDTuqG4ihd3TNZ2CFtuGe1UW5ND91bnUpsv6Sg9ucWR
P6KyrLqes1OTipqtrm5FayDQAEhGnxiLFs1ENxcbKKRu0MzmRtpw0DItvR3SuV/5ZR4UFZ6wQaRf
etf9CIkegaBGg272N7l8NEjbgikxkgju42Zhh3TvTjpWwsJ4S/NOIwKtNRDOMAd2DIlO2HVXjSg/
NUactmBr4kps7JkEvJVTWMalySKwGrFrr8c5exAx+1sldukmBDrsbF9KqyImy8XquUzViRPvHGiu
vyldFvZRfSjzCqRjtyvaeJv77hVYnxeXPURNyzQfKrwpiGnFAZo8hZzve8Oi22DXh6BF5OQO8vU8
gw5IrsDQog1RsmZPCZzx6hfn0BMPOc3OtoAfSMfiHq0iYczqxyZ5yjpcXrAWAXFu9BEhmjFfRIdY
WDjkrKV5xcGrFveRnC9hQ4zu0ppnxG1EiRt77rwXO3UPYb7sMjkg40AhKvsIPkhxJkJuZ0wGLg9B
OB0QhW6sV3FqE6depM+2W+EeifHqe0+FRmqA33b7aYge6nI5tWNy3xbDC/GIezLwmEPzuA6cBhn1
kpi7iRqzhZRobCd3PmF9Ekd+5QhHhvQjnVhltHxtGr3gxjSxi6IsWk2LuzMX+81oCccuBSMWDcYS
hXcFQSKH2e6jk6lZ9wzGn0oN70n30A66zq7Cv0Rxuq4BA5b1ctU6+pPw0xE1c7rrkha1FvaYyjSv
ky57K4YoIdHN2db9zI61qddxHSWYRoiEaObx3Q/1aiOKcb04CwcWDsDCeza4WFadhqZWpTLYn8xa
wCAL0/slis+jbj037ajsmU95I/SNMJjOyRcOkky7CYW/S4vyZkh6bwVW+pMMWWybgJp94nBXpsyP
ec4/w58/9kMPfbw4eNFwgptz5F8um2kyTQ4dNnXMG3Njqyf9jOeEGPe7WNDek0gTvaaJwdU6BRtu
i68LOsgska+dP7LDl5vZ40swvbfeK6+LwUJRzwmXq0iAOnzfRvXL7NKKGEpnMFrOyTOGO09v8jXw
B+yarfmSDO0B4GCQazJcVZ51MdPowD7vYpQAI+ZFXtsSrTMSw11Ytt7Bb+t9nJF46WXPqZGd6Fce
3bIWgN7EXR9ba6POr2OI4pkYiKO07tuE30VRy89WoW5jcK2lgeKjGA7RDOo6TeQ+N5pj4xt3vEiu
qgHNAtuuM4G3W9xikleVfAGesGabn29lJ26rfDyCoDxqpkD7BaDRmrGXt9a2b5FjLeN+BImBqO40
gZDr8+XSy4xIwaK5Ns32ONW8ZD267aLLH0mIf8uwdyMSO/St9dERShNXzkE34yfZJfe21z0QQpIj
CUcuZYMNkh5A0PqgFyAvF0ItiYI7zX0JvsTgHaaP13GVHZOlfJty897PmWaMmdanaoA1YHC1ZLIt
6/psF9Uxcb2v//Ym33oTpV36+5F9/ZH/3w0QkY+/Tu3qA/+Y2s3fbJ2HNvKD77lYP7QmFuENTMys
qf8TUfN7a2KBQRaCZTW4BYtUM5Ou5T+9iaX/ZnrCJYtGmW5cJu5/0puomfzHzoSlgW0DvMdG5DMa
/Eo07sMh7fKlNG5LAN8iS05uhDhFzt+3On+PGf621/7zE/GdsINQECDdJI8HgdcvWmyNNaUNDWG8
tW2Wbj2GfGtjL8NVkZAqXeHeXmkjAhi6obM/D6cmqx9dgwtQ3fVTMBbIQbNWz46ytf01VBIRmHNP
/bZxiIZj+wLLoQ4KL2Yvq8bZuMvvaz5hwHPhthIJWyy3JDSy4R3taRJKDhkDhADgZS6mgFBgyGF6
tyjl094kaXUbOnKLkq1fDwTcgBWY2Bpaz9jir8lMROmhmy88GKoAFfQ9Ksw7rZhuNM3mGgYyQIxJ
unI8/0Aq+s0YFhHNkv7IZo6yzeFobai9H/e9C+Hq29Eann2v/cCv+RYV82urtMjZ4LJUnpNbuw2P
DsHhW9elpPlhu+tiJR9q20eMV/vEs3C3x/GRvvdTOcbZVhZ4Ox05w8uspnqtDSptADXoVudErBeF
4uGkZ8sDdaOQy1ptrjn1vw2u/th2ERZIOLqYtu/cZtjBZ9ojP9ZWPTpfvlAT+2+Puyc27HsNMULA
ucxD2PPm98iAzWk9NDG4mcHKVrwg1qykUA516Y6e6Ks3I8gWjn2tyYGtZkmiBqHLge7ON8aIJGBm
dh5jnexVPb8l5T7dUsV3S2FdR1EYrXrd2vmSn208cuXWHDRbdeO/lYRWAAK7q8plXmP3f0oc1F8R
ief0e/l9Nw4H3c4koi3xWWBKX0Xj/JQnib2bzOVsTJDkujgF8rC0X5CFfTGoh0E26fsq9w+gJjHW
Yj4leuRSZN4aOYBzcs0FE2defl7S+iV2uzgonOqB1Xu6tho324+DuXPdMTBw7pAsQPY6LzE4D3h3
NvoUN++ASqJ2u3gaVdd2JrAGYqK4rmajjbq9NTblWrjjVvdG5c9tp6s8t0GrzXogFJvYMr+Mwj8k
tr6VC1rs1ZzV8imzTRV2MOpiWdmJ2qjjbFtnqXEwERPr5Ib0SmnuNe8ckO70TPsgvDNDU9ddKl6N
xFtICFddD0pvXFcjjBGtsDmXj/LktdxjNJhVNvZlwgpkQnRDNL46qdttpqhG/sd9tsOsxJZvFVvd
qU5Jb+q7/Tj2L0uIfnjC3S5TcZu21XXm8JY1y+yWNTabCu2w5LHFaB3HG4ATJMjI5IszUr3gjyDD
HPS7uHeIz+0/Mk5LAcdWVjj1y9hu4F0eYqs9Zr22nx33fUrF22LPWeDmc4fN7C237uXYEbsxXNUM
HblGS0nktLFF9R37FpzpxdyMUGIkAcetHnMiWWq5M920p9Ek+CWS1ltp6at+qsZ1qLUtWJCa3VB5
nqvxta1SXMqz9dT3wruutdRqHhRwKvKsNkRfoaKJfygwdBBzVJU/pqX/giRVT1HKhcLvqPWv0H+N
S++6DhD07My3I0KzlbULr6b76vpAN6q9l8/1JjvAl1yFR84fyGN25uF/f37K2A/V4j+f3nepO4Zp
2GDq+fsfjpfoCG2pOcNyK933Ojz4golregPIs/rnn8cQukDTKlAFi1/mZWQ/NrZuudzqySmeulWe
f/jRAbLv/+fz/Fz9vn8//DypgThh0WL9ogVuWDPaAzCBW8c+ts65BhwfW8//+3uxfl6L/+eT/PDN
/PJJhliIziA07FZuuycgmhu5F188AOMrxJy8xlZ3LFBXxdbYP95463x1I6+T7VO3CTeX9Gpc7dkp
n/o1/3BdbfmzefrfX5/Sx/3ll8rGntAp8E4+ROmff6n5sCzcEYV+S77STXhhJXatP0dXBu6JYFjP
q6tXfTcFN8123Nt2UBzZMV4A6WwJegu+fSn/chaVLfrvG0m15FonH9F/23Hxgb83krqjojFoCrmu
oFBQssTfd1y6+xsqQg8oF9CMn6LDTLpP/jnbrz/XX78vuQwFbYTZiDsOXcQ/XHLRtP70OuJL4j8z
TA+ZI8oG5S7/+XUEoCHmiN2b12AaCoKeMziuILodO1NN3lijOZSLy3HYErUxAVacl/uhCtdRXDKG
D6n7nsVlYPZNEInmDd6Urt8ixKNapBKZ0KqTpX8uqn65iswhTw5NPxsP2Ak1+6B3AjCh72v9uQjN
EEOJA0KX6K5Uv09ctFPHJVry7rMPboMYBRPw1oXt2E46Zf6Bgghoa5kMbI0sb0h3IvV0oCBeIu/Y
AfcHi+wa9MhLTGxYKOYBpZ2L9sptYnE0Bj88tk3DYbyk/9rEk98EbUOW6iDm5Gj3s3UKwwUHX+qH
/vvQlQihrCZEfelaLAiyMh5u6afUYePNzaLPqcMwz0xQBLVjf9R98eH4FYt5WTTWl7HnZA6Qwmii
8UD4hb3tM214GxFqrqQhsCeQV64DkhlTHIO996xriJF9RAywRxy578zSOICCjU8a6Wb7TG/dGxq9
6bDUdbOzbFkhfFh6PFglUA2vpm1pmTh9GV7zy6Wv7L2gG7tw7fXF0RsIYrPDFh+1bS+HzMLbkHC+
5lIew+toOAxERrYyZy8Nqg4GrFvikPL8D8+KtZ0nlz1JXGczTZwdQB0qWKeehmFLVq41vVgxGPkM
uCIXHXtX6T73LiaBHmkDSfETGrcYsbkPzXHd2q6N8qw2ziLKMrJAbPOudJzyIxVWe1U0SflMDnob
QGb6UuKzO/771Po+/lIp/v6ptcn/b121QN7/y/jLB/7x1PJ/Q0kNRt20vj2Zft7M6+pUjE0N5CDj
8Z+beXTWKLOZlw029zxX+Kvfn1rKPmxwVkWGzaL7H3qEsRb98tSCroHgC8UYm3keXPov1a+Jwglc
ggTyzqp2VJRn7Dlrjafmyk279lZbFAuaFv/FtrhB+gpx17tQ4LyCwMFOk+XVEhFUmC10lgLINGZA
d90ioQlq7vLbxSLbr0gW4CotGYS9NVSE5/jcTjvo1SkYaxha4GInL0Z54j76oK7phcuts4Avd8Fg
02FE+xYwNn6P53BEBSLT+r6t1KFLS/y9LqLPpUX7boqjVgw3lYh5ryjytmhTHXoA6+QaLHc+JrtZ
cborgN34SF9DnEa9U3fHWB3iZZRvI/JpgmEEnEOa3ycHBO2+VyzwdrLnrV9NH07lfAB7TNfk2XG9
bhAOT+ZLaVTlFbdbYHtgxg0ZX2LFHefL5IlbnDMWuJ4p3UAjK6d6mlDmsL/Xdxny0Z1NNCpLvG1U
EeMV4nlcbB55ub6ZVIxqldc7YDlfIA3cjU4W7eHJEuEi7WjDswH1eKKhktamsxuPJtAq4ykhtFWq
9FbL0Cvy+DwABPVIqCAhr7nEEOP0bwXYRq7tJPmAqjsvKhnWE/MTN+DRu506oKh1P6Evzmnk/VOs
1V+XIbY5G0gUuelgIXxTeIsln3ZFglO7SVL/UDdzfDEz4xEnC0zwmTO0gZJ2iTLzdRHuqi4oUMPD
4OTRDfIw/EWiaH3iBLN9bVebkUWmjkOV0cjDcYtVmQ168qQszGTqDd7K1LBNImBQdKR6wrHU88jU
qtsoDXGkdIidHPHgaoCJxxSS/sA6J3eurKHkRwwoOEyn59pOvrhmccJLw9VCb6BFtUgEXG14R+CN
UdUyXzkLvLEUQBUeubvZtyrO/eneEBigXbgc07BsNcMsYfnjtuGBjrCas0h2ckL3Wh/AhngzDq2l
/CrUDUEOnoNdZiaeLovsldTSz7qjvdgGMXnxdPf/2DuTJceNrOm+yv8CkAGBwLQlAc5kzuMGlpmV
iXme8fTfQeovdbXU3Wbay6w3ailrIIngjevux9OwPU29ck8u/rVlyGe1gSsaO2011hc81A9jHh+n
Af218sVjkGEvC2v/3h9x48a8QqUI5AbEBeVztnPJBSxPa3jABDOv0gCReVRYBFiR+t5I53ao40tQ
Eo3ynWBlW/2yZr/VJ/4umR+BydL2dNuvpW0fAgwBnTkcS8V4D6b2cVmyBLlB9aZxFUbzTq+zVamC
jMes/2x0tr2NA0qrkgjDIMcc6YJKgYA10Q/ojz0KW1Q/10120J3+nOh8A6vzY5fTZdkrpBMqfdgz
kERrPrC0eirpLdWX76We0ZOXpGgfpr0Vbax7lNnZHh6BxoNhnW0KBzuiJEKPNSTe51a5HhsY9YJu
z+XE5ZRCd0hkf1107E0EWvumQ84JVOj8Gv48lZeAM+lGn8xz3DkfaKGLN858EKY867IiWddR1cjs
Bd94OeLqcKaUWb0TTr5JLZKIomyAgtGz6mhGustIfmtpS5I/a00iBuNTNwd3mirfrQyLZCDsc9KH
kG4CRdmwdbwl8gmuJ0i09SSsdxFZiaflKZXOZulNOhSWLBLgXO1pk1AHWLezfxdXpCmiWrvPox5/
EI7UjzJUcAX1vUeV++0QRU8DGbuarB1ooC9Ut8FrgRvQs6nSe7ok86JmSemx7cuesu/s3iwC4HZm
X3iAzI+GXd87C3S+XvDz81y8QmR0vFL2+qqFUU9UZlxZffNutkq1nrv6WkbpJYRrT5bndYRzry3A
e3iVh3QWXkLdjNe1xg18+3PnKPgsFlx+DBjGhp+vKqCq6wWpj/NCZf/Q3evQ9iMfPjn0/bjHu5+Q
VeJPMz87C6G/mh4zY7gph/iazwMvAiz/DKY/RFyVggsaW3sV/4pFqgAl4i6nCUAzm4NKM4BUx4dc
oIdK49okxlo6Mgcaw1O9lApYqckyaSkagPIlaMSkfCBXcTtwxsJZLHc5/QT1UlRg0VhAfAVbxVJi
YCx1BnQaUGxQxvt5qTpQEsbT7/KDpQaBVl+xp4szArxDSUKhU5eQqDU+5qVCIRhZbi6lCv9MZb9P
ZUwo/30q21Dgmf+nkYyf+mMks3/TTeAoqAjY2rn8/esiSSOPgymUqQtbIDb5X2j9XDFtAxe89i06
fE9rP0cy47eF5kL1jvX/vRR/R5GAJ/3nkcwRJCip/rE0brVkyP/9Iplk3AvG1rcuWIQPQVv1+bkd
xGSuSVWWZeFyVZu39tA06yzMAowPTkjnfeHkVLy2cfgy6s1dFlaTGzY5vNa228I5d9kesk9Vc4Hm
mkJbduJ3HfoFD6oBjlhB9c5n44ItpGW7q7wUQ3ZL5/TT0BVactNS+nxHH/DOGchQWz7VozzJAZnv
S0IYnP67vqLfWAleQLeG174fRuZ1mE7WtZHbrIglNnJ9ZQJ5KTBAZGp+b1qKvvE5pwavGTW/vaqU
JoweO76Ie5pmhqdEOCEN20mxI/QdT3wF1+chloehM26NAFajb+WP6rxEk6iNLcLyQyzUGDPsQPDP
0bomPkRlw3uYx/OqVuTF7AQgmPGxo7ZwrTMQKsBwlYwjIFhgKbIsNdeeBhAOOUhBTYZPsDlsttsJ
+ArjDq34Ko5LHPhK9EM41j3C76cq48hrMl4Uw25vLD3huw93JrjegVLYoExeJz3ge3KIdurMZrla
BIIste+rVBObIid3lOstrotY7EjnrHLosW42RHs9BLBrZMTA8hp6WkNCCZRclXJwTAe9FDe+6LL1
rIegZKTYFQnrcWEnMJKnUewxaCBtdOoPtQAc1jXQh33Dx5uB1SJ33oKwOJLvOTY64YDIpj5Ynx28
dRhDHcJBo6/8MJx5k6rjvvRhdtWkJykQd8sa2GiWLyB9v/xqC/bJRMUIJyvZxxA6Izz//JmPdIuL
u7d2mFOBn+bGjdSqBUZNVgrXC3MjGCwH8Qfw2ioINajKOGI7vlFX6lgbayrBmzWfNzc0iucuFsCW
g/bQ8g62TbchSBhtRwP+kKlWJBBzuc/66WqsjCetaS9OG93HbYFVVG0esyC8DZfYZKl2Wy1YjKkm
sL0+rG8ny7+nAflmrjoeEUJvLvkr7BhRNEEE8K877IgTeEjKIJSPulJCV5Vlsp0MvqRmzUnXQ0fx
Q2A0lEOo9H3KaT6QpbqKp2LaFDbY6rLL9XXW0+ZYyeEEy+dHmkYEqGBn1010NuOSzgjVOk4FiHYV
r+xqIqGi8QC4Uovx75XDZnLaK6eWz70Sqmse9Z7Ifmauw07/yiYWEzTP3XZzuW47i2RGRTmcNc4r
mReQQBLMPsOc7xTJp9NfRromjT7TScx8OVrPxmDcCZSXfV8QGExrseeaqLu6bZ/CXoE2I5G21EzK
zVDFV1FguqaS3GYpLPGQz/YQWqRw48SLMudaBHm1MVPuE2Qj0dNq8MtVbt4P2gLcrtUvX8hXVU8/
8Jrtq0Hnex6EAQWk4lM2yiNtmc46y7LHbGiFJ5zubppasPVm9lJM8mhAoid4SHIBO7QlRxOzhF1a
+L7UCcBw9U7Kl6Yoo+Ipt0rSp9XZVAgnzgm3q35+r3XxUrE73DkqAYjSsa7nrs9Z4YRAfWoa0E1i
GysnnIjQYXBWrfYuzFsqkks1BWZbTKvOwnpCt/0rXNY7Ol/t9RDaMIY6f3DrDuErLkus05F66eEM
eWhRn/08OS404XMci97t/cLaJUmOr02RWDc7UnYZ8TncIcMHgmC21hqp71R/MC7RaEB4bKoRoVaE
ri6q2yFngJls6FIa0Lokykfep4h2KX1yIyOe3CkOyzNc7P2U+a9ZPpJ7UlijsRUNVqPOp7Ws4w+T
5sAVrtzZM3J/E0h92pk53o2ilJsEFJUbWma6sW0ufpyH8xbi8mttG5u8ViipJofJyH4DGNGk6IoK
0olY4grh09mMSk72hqa4GxNT9caqtH0V6Cd6VeBnZbG95Z5MAxr4zLXfT9Mh7LofCcVfm7Bs9YMA
rbo2SkBFyRjkuzCndnUeMt6bYVI25EaLlcJwvwpoFF0ZbQ/SgfSRptmEXYz+GKTOwXfmoxLNGV5s
7jd+Mt/U2bJXte5sfEmnueGmR1nqojlP12UX3ucCuRROf7opdeawLlRq4Arth1lh2MpMaW9Hm2Xb
pLHApfAKG14aXrcRLgF/Vt2kiPptWc5HQmsnKtNcgjfXPVUpnh5XKvktrtuRVV8cI/6wQamljc9C
wiLbbdJ+gOvYoJ/KnjzfDBDLZrD4qjo8YnJ7KxIFQmB0l9CPtlbRhjzooeaqluVnSiYoyFTsNrok
0RZJfslIAD1P1Zcy4vbVd9HFdzowX5rau0NVw4P2k2Nuk5CLxzh4rMKUmjP/xeQytRI8ulaafdVZ
+2LowBfD9lJ+a7ht9uGTOfc0B0HVydJHLMM4FCIUWqEoN7Naqq6SRmeNahpcickxrZlEJN+phtJz
gGna50jXpdX5JxvsCnnn6UCUi1R5AlfYyJ+yifh3TrzBnDJ2pLFc84YeqkY74j7/oZT21zByfTTZ
oOSVAsA6/sSysGm6ot02Vuk1Jf92KJRHNVZPc3DMYu4qnQX1KllqXd/DhsO3V1QKMa19F8HvMihC
WDdmfZibgZtbwtuTcVOPWf2MM59nCItci4X81NUC55Bh3UVxwH/MAd5n8JLrFJqkWrCP4bHbMrm9
MoHto7HYVEw6KO3mYTbIjxPZvzIrKgqc4UnT+cXLEV+/Hx8TtlZbPWs/JHy8ALLjuoRApdINsQwx
ms4XHqv5rRFicZ1s/YIe/lAPA9fRRiWwX1bXZeScMIHj/TCr204h32bFhoaXIdtSTc+9VMSeqQ0w
ZfWSkEGWBZvI59HJZ2wJwPvush76jLBzQo3Mnfj9I5qESAznst5bengYpvgrhBW6CQb7atLibTFv
G4eSQntbT7mrjSdbSe7DtMeoImW2RqfZUqkL1QBDImn0d90eNuYQvNtmdCLaQSbNJ+3flNUb3XkQ
1sUQG3wR9/WRx+c+mFircX971EpqlPHz2k3t2Ts9SHeiIH3SJq5v6+VNbtZLC0AemWDDpKEpT2Ff
FOoaH31TH3AqLIbZ6Ns9C1wVJ+3Eu5OrRqS4cjHaBt+eW8jyIBjYAoyLIZc753Z26Aqu8eoqQF3d
fLHvRrJwZZZ0rt8Xz76tzV5u9yRxpkDzUvy/ep3f4eYjManLrwqHMN0CxorcNn/TqN1AudiHlnwr
8/F6jBwScdZChI1auAIWT0iSSDqhBkqIMd0CbllKVBKVLza2/Sbv3/LeMZt3AFoCJzxVtUaNAFXi
Y2td+paihs46Lf1eIErjN82ZXPz2J22emG6K8p3vlokw6VLkYj80USQPLY0Hs9/n2zlW4RBSaSz7
7prIfciQR3aQq8SKuWZwTT//UQ8ZKJ2QYBI5xw0G15Os0luR9F7eAlXENzfsOHdPzoC5YzL4sjOa
Ztf1PNGx4DekA3KNANLgxcNs0sywsst4WwqmXUdLXpMqojXmKinp3TLwWI/63qiBTDl2f1EoYGJF
iXJlxD/KCbxSoIGmnKJLEagXAyRwmvcXKa5MVnXKDAKpVoJDrxZPyRDs2zB6aa32oXQKzA3Qk+x6
O5rWHV6ONXPvZarEa1RqO6dROBmzYD9P1ryPu/SVP+BDuFztLWZBL2zL6Mip8Cqzon/KZporiio+
QlMoXDj7BU1S83noJ9CApvZc9hB24uSGEt+3pLTBXTaIRpPzkhrFKdLDp2xgB/rPhf77Qq9jGPjv
F/prgPZvzV81luWnfl7olx5dx9FJP2hghsjw/HKhp0Oa7jv8h4KosEod9B8WQ5VivqUSTwJjA6+2
hBJ+Xugh4DgA0mjm+5mM+BvBQN36dwcE+jOxDLEw4ZaWa9qpl3//i21E0vtG8fOkXRkp6aZd1Pd0
wdpVcqaqaS3n5oYY8JNPVIslZbod+I5QiL0BBfdXRhFsHR/aYgROpm7L0NML8uMEVR2pHjs/gKc/
cklp3Lnbcbt6gap98AOa6oIrjVK0cxE1NpllplFLY5BJGpBchF5/QHShrqEDPyJ9+4XOaorlWbFv
5NC+zAWZHlAcrm7017BAdI/GE2LyCCxzz2xPgPcMy85kqEkfcwXDf1arn1HZfA2z+GErJXpyl4Tr
Wox3mT2ynR7lC9PcUz1LE1M6Bnvw7TSRsrM2p+moyOTW1CaO5zybgSrGLsEU/kO/+TJ85IZ+bj7q
XoOGyAkZiyha+T556CysgVQV+oeaPEMGCRtzuSjTiDfUOzN2QjYEbe1yFZ8karw6ZiQVdB3WFtXX
dJHorfOmRdLvvWisYYnnPSfjmCc7JpalRYUpo6X2zVOp62FCc0avEXa6gWiCy0j0tbY2I9T8KRja
Gw5zjb9YWt/0hR5v6UOoWCWnvFQN5r2mJo4ZVjFlHjkVJ1llPhczPccQTAZP1pI2goLpsV1EFqpc
8eo7vrE1rWG6IaLDCriL6a8nb4hJmmVzuqBfKH85+4Yau+Q4mkMY9NZ2rNnj5rR7N25FOy9haZ0I
dNJ9Caewt2wegNYlqHkoEO99y9sHb3+pAAGlpFW41CLOyB2bsU9HKWjvqQa4bSUfVbBGe+oXmzUR
sfTa1iHFa3AnSZ3AjXEoH9rKVEeQ6htja4fVZzZqzpbSFVrMayW9tuYCN42dQgym3+/NLhZr/BSp
O7IpvDYqk1ouGCt0rU1qV7Ms6Ck0pRO2yzmEG1axjQHqu7WV+jiApzsGQ1dvnXBRmVRb35atSdMT
3RBE74yvSFpyJafwS1OkvuWKqLBWmDMCpA5yfm3b8l3NmGxREMLVQDaFdX1Neo39tufjH+QbDe6A
G+dd+s4zFxzqWKi7YaYgzQtjm2+YUbeJlPZGHX9RFTbtqC8QNwVqErOS1Rxbrgj1UYfeVKvjPeW1
oBpUnKaU/SabIq0eJwUggTrDhqOGpvAaZHw2Hi9KUD2l+DhXPvYFL0Rd9fqsANKnWgsmPX7U8gJ4
RRO9Ts5MiB7H4GlCe2FxxSJ67m6inDyEYdIUX+Tga5zO/GRce+1UfzMENmECR/ka4nap+4hedCU+
pDJ9Hs2BiEijmGuSn8sh4px5KfZd4nwVPKfkXXFSZPY94951pYWHkqpTVlLFha3HhzCdpz5ViEPW
43U71/berutdMTd3MPseqtD0PbXFClN1tdfHE0BiYF9bnWX3Os5HYFJZfhz4oq7t8DZQa4M6X2KK
XapXR0Od+YaNUehysWOJfkgs/8rWh7MyIk9PgDJ5UqJ6lfNhAwSW5mw9nOidHur81UzaeBfoPTBD
2WGhrBx5MGnuQ1gpGgCR2bvTMIVkapd7pl5d09l8B6xq2MZsOA9B3vEoQ8vzkmmw+SPBZJpAKW7K
kTPJL4bgJsNQDsKpUW665eGZVd8Hn8Nv2pZG6MV+5GzVpoxu06AuXVuQouGE6YhoA6dVDHCapdTo
G4pRwOKl3UH1rWk7djSy+UhfLtUj0nPmmM1EbXw1UzC7iZz3ZH2uwDEdMz0+GbQfEHlRxVYfKLUi
kuFvEtlEG6JYsP99EIdcWIqdQMdmOwGIJEypMI0isRX6yFGPuLELM55aMQCNT3OqeMxw2UGVnFJq
BcNsgFt/Y9QYjMN+BOYca+YW3ZR0LOQDZKsW4HaWonxYQ/fPqPM7A0Gwyv9fo87bx2f911Fn+alf
Rx3sH3z94T79C12WGKeUOq4QAzsaU9CvDARTX4IUDp7tPzMQqBPBZYKxdhme/hbeh8fsz9oFPnx2
L4JRRwgDT8m/jzr9NPSyldZw1Y59smYB/FT0mOkXfTJ1gqtMq+IP7n85vmH9Xm9Z/fS64t/Z1vDF
jnODMCJX86J9BrRTqYsamlk8IVHtv9eLUjqmdHT0XX4rSfmwNi387YA7y14U1rC03js9ujP7+Slc
NFixqLGilOuxCHF7WSWbcxTbbNFudUTcORV3/F7u0BKJqgdqRMSi+MaY4Nb+bJ7bxHmQiyqcJ8GP
uLHP+JpvVDlehRjVCwtfSY+gLDC4bhj7WM4iNo8CcAmjKEn8RYnOFlRAsOio1VqvunivLor1wI2E
pr1s4yxqNuhAmxKRUvf0xN+ai+ZdLOq3X8r72sH6xvDW6brXsQ3gKxWlPMogJ2lsTtpFRYft/Wg4
P2hadJm4zg1KO+za505FBSlh3awILhDomsAXmj2IXGOcPrk/7XvN2lg6Vh5HDR8DLWP9TSMZkclq
JVH4A5T+WFhXQ4RJbnEAFPVjgSOg66YjyP6tkszuknBgc7Pv/ORGLFaCwDBvbV4hn0Am/cn1ZkjT
S437wMSFkIwzxGsyMvBxsCg4eBUyPAsx3gVRYmKg0UZuyk5rcFVbRy2278GdEzaY1ceojwmh44aY
cUWUuCNKXBLBYpdo8E1gkXkd8VGUenca8VW0EHdVfBbgbj9olgOiuFgw6jKAkbvYMgR0JQufhroY
NirpnHmbTgNOjgr2ui+/2G15/uLyGLB7QP6nj0UuafuYuRJDjYo1ZI65/Nd58arn5gs022mdT+Ob
7LjG8yFH5AmgtqJen7Q+pc5xfnJqnc0+XQuob4fOnHaF2f5gHcwuLtTvDQwsQRRh//Gra03FDqgl
/ehajsPQokyxqywemEnHXKE6yWPc8iLNMBxZ3MF0kJm4xcnkOWXGxnqx1TSLw4Z5JriIDstRA2tg
D/9ff8lIDRWLOScMoP3OrXwAxh7eTEPt7P1kaeuzmpHAnE9apRskcB8t9qZlMo3wARnx0Don9vrw
nfzQjyevzdh+PvTfyEeDui9gjAHD6V3u66w/lIDuOBkvzgIsVhT0YCKSjPm0XjsLVtKOmfVzZzuV
A8RJRFe3Her0EJXS8rLe1zz0hJeiN2IPkzY1XCEf6XygNC2ksy1CO13DcncD2xnvbL6fkQHDqzGc
fwiAmFEV2C6ex40KyYQEMeFthEYvp3HPTQBqppZ1GaVccfNfz0RSI8Cboc1SswXFabbtPgLNWaOs
pqA606jbsFSkhBaIZ1E2JUD39iCx7l5SbmaJNO94dbUts8alievrESSoAxq01qmpCPzhvTHlY1Ho
z5lKC5QAJxov3Y8VfatszaJHg94jWmUZlmxdIzPVs+fh5rJOwvSkYpbl/xXrMaKAqGqNl3LhmYpK
8Wo9+Zrm6qGMrceyis5pLd9Zv7A8ziwWJs7B7PDUyCqkZACq52pqA2WJ0bxjh7i1Qavy5rGiiecB
b4f1kPX9wBOit0ujHFV8NgUFC8qP3RbTO3S/ouVhmnj06Mq4NKHYN+S5GC7a2xgyYAchkJzB0e/a
U7KgA7l0t9TXYdnz+8yh5wAnU2fZJIUy1ms+/EFl6Q0tnCretJ3DQF+ql3zBFfYLuFBAMCSt/KZM
2Qnz8YMysbCkWAfJBOjhRLM8JR7DrmzQcNm+JK4VVB8UR5CLQz6jHS9/iGwKHcvyI5qtdh0INbsf
83qn5IJ0HbKLzyVtlVp0DHUJgS3f5tgY9lZW+q5vdnBU+HYo2w9HDAx8Wcpnrcm6AZ6jGtCmWqvL
pZVuldyTC/Kn+cZZi2+09T/Ln+/lj/o/J6Jt+pnnfx2Ilh/6YyDSKHQD+yQtB6Thty3jZypAiN9I
BEj+R8ZTYMD9dSBCzYRY9tNg+694qe4QL6Vdm/nFYVIiZ/R3zBya+edUgAHuH6MuvyZXS+a2xezx
y+4nnxrmgM52rkRWT2w/wdls62+Gna7QD+kZYdb4rxjW6hvY8RDvsgV+N0PBY4VxqnMnQStI3hNc
ZhNKEeSeYDNJia2o1FO457U+73PuRF7XOzd4FL5SeHughmy0EEEsX5AGjBCqq60alFs7R1wolZ0S
pe9GPerrBfASxMNNIpbIJusSxP6dpYqditcBYOqwjpwCtE48bYnRXgTyVyRU9JfQSDdY/HeUV3ML
U7T3OOPaBN1qX9vWM+c3wI7hg2X4GQJhytcpf7cXh69XADfJCsfnZz3ZboL1lWRAu+ASiupqxhlH
ig2Df6/tqrY49gmehKFVQcnpSg2y0cr3qs5o2OWK6jbF/IRd5GzPWoYY3bCqSGTtCfwgoRQk9EE/
14mOblMHlhcP2pudEJdrCERWkjlSK7qXbPRfuzhG8i2uxglbqwL0apM1osT8le8ZfpiPIoYojUCg
qw6yXxWZXWzLsNddjA/Zmt53En/TTWYkHIcU1cCJ+zFlUH5V8o+IDD7OWkJ0ekATsugG2sa1r1Yo
B63v9kM7nWK8YWhGqHI9bSNYbLoB6I4Wu5PEmjGaLWjc9DNT8uGZ9/PYGq9zZp5l1KzpPrlOq/ig
mv7d0MQtx2ESNy65uYqIg8g7NAwgTUsDQ1qENJQw0dJ8EhjWPm1suAVGH8IUsElRQmpyzoRJwoOV
FCAsWHzveV1K1ZNqVG5DthJ3fuJ3DjAybcT/WuAF6Y1JbsvakKmbdmOw1UDSYtrOa3GiGK97sgvT
3ilzoj7/cxx+H4ca96X/fkHcZ+VnHb2lfz0Rl5/7eSJq8je5pCMxnX6fepxIP09EIlQaQXyLw4hi
BFh6/zoR9d+IQlkErGgMYxnOPfCPbbj4jew+bjTJaQphz5Z/60T8rsT8VxKeiylVmYZgF2+Ihcm3
AIl+PRGtEJ7KqFTTedRLuo1oBSBVXlrE1r/Uec4NFeuW2hacPthjZsbkZCnngGBN3Y3JptgXiFY2
nlbqHHprWlGs+BGoKGyF47+Rkb9L/CQDscyqoppNeuINaDVE85tzYZpf1B7HbpJRPajly76k63TP
gmnitWzCSBlpxgmgdLZX8rStGMITOmZBmYfrOA64daga/iG0WIxEyRGfaO425TBtasMBhF2BqUnJ
n6+Ju2ONwsZ3kf10SAzQ5kXrH7MoTTaJ4iBxceDbK1uYIJcTsgWjY2H1WOA2lT4ma427qluNabQB
DU8cWiovKXUYpTnmByvs7jUzVF0/Q7BEGC0pPpmUSx2bH0POAF9xM92yqv2a4/gV4hA3Xtlr2R7G
u38qZTw9IPrDTqrDcwBNdd+F8WcbzOJF1CGGKCx6m95MKU1pUq6qPNHwSp3cOWLW1iDFq8pBlqN6
Mtg3biOiWyuwZeaptqwbm9qqO1K/+yGc7pWSfrRCsh0GUX5jmbg3iO/DR1Wl6YbFWOznBCFaqoyl
45QoJy3slkUnuMGXvgxwnql6wjZ10tptkCk0ia/mujbrq5D3rifbFp0nLarwuQWaj3Mq5ldyiH6R
gSvZa2O/4zSj0HpJySliCcyxZIZls6Toou9AHY3qKMQOL4J/5SAWI9ay9uw1JzkJfHMw3uY7yZ5/
dP85vX4/vRhu/sfpRTXKfzi5+Jk/Ti7jN5MqCjgZ0v6TMVeD1QnZjHylqlvav1HMLI47Rj/LtHTC
nAxZ/zq5DIDXpmXQVS6+A55/c5b7s45H7tzRlz8D7E+dtDCK4a8nlx6mJdw8q71kiRluiiKN3LHI
pD3fgA+Y8UJETsjeyJNhr4Z4vHvkHUNrhYbnm/6aYS2nSKfr06ad4YqsDbk9Kn8Gg823NppVR1Nt
GupbUB1YgFdSphHIWsWPe0ptfKfIX+fa7OS11XVOnbuWWvbyOBrGAP9eU6q4ebNmqv1mvPz0AeKR
GGtqS+HXhvU2bkrnHFZquA/GRe4YBvlQFZCibQzzVVckLBGSOHO1auiP0YSJETdtfrHSpLuFEjy8
q7lhlESawuCdLOG4SRs1O0VmUnjQNfxLrBhyQ7wlxPWpkWO0aSG+gVXl7/HtDOckt4aLFvetW+Mc
LQY8wThCRP1mR4wxaYthZB1iO9qHRtzei6HCYEJN0gfNH862D9PhxL6Z5fscbVN0nVt0mBQhBmtt
2qmjxPjFhGa0LX5NU50uNcmvTQLaZSNLDZ8DKzENMhRuYN6mdldRK07xUQnZhP2KeNXncr4O5zmm
pVB04p1NunHsqibYT4xTz7rR6GiPAvtX6QTubGfdVdclH7yk+b5yTO1Oa+jOWMcQbc6S/vQVmK/w
MgHEdoPJiC4GiLqt40Cji2fHvswVrT4Zihtm3W/cZjB94CtJT0QgmscuKzoq7uKccF0kgCdpKGdm
2CS4QVFHtLEybzTgxRvOvuZaj+jBwupRHHGL9cemSQ6YrmZIF4q9qaCkfg0yTHd2mQWHsYiAwUEu
U87UBKmkkhsILsXE2r9tOcKryc63ZYAdVZItW4EsZYsyC8c/pLViPhLeeCJbJ05Coe+aP76/UUBN
nenxXSBQtXo1zSG0DujT+yDCaESJVXyWTTndhmBO3b4ZKm+KutEL+tnfNAQAg39O1t+FA+1/UiKP
n/V/uCUvP/PHyWoxw5nQDUy8EL8fnz9nQswTyFXQ/8kumLppcR7/lA04Ph1bI8wOupFzdKFt/HRI
SE5WkhIqBesmSDTu1n/DIWHxJ/sFwYBBAtMGfCTu3CbMC9DJ/36wskkPVHDF7cVqLHJ/5MVIqIUi
dS2Ws1voX2/I6MOmWuQ1+P6xVA5ZY3eLqSES8UsksOJehX7RVXuuRWUG/SMeVI/8Wmddl7Kuh+t8
KC+lnkT3eOeIAIX6bBFCWrwXsHZe9dTgEM9Bppeqz3kdoMzCPM+XI17IOdy035/WykDH20tfyYij
aa2VNi9ZSNKrXI1knbDh6Z2JLrgRtMFrB9rd5+IumBluthHVA8JrId9sHT3gEm3h9xv71nTrYojZ
pWM5GBbZrU9MzRvGinaixKwfZ2qitV3iTObs6U03Be4kHKThtMMIyNTsK1zxZKngWy5RLLqJGhq3
FAXrSNMEFolzFmMgW4itVoZJe5foKdth6hTSq1GYodhWFv9Mp1/xPA+LJaQkkBbXqzEsrD0hBV31
/hl+voef5TL134cfGBft2/9bp2/1219noOVHfz6pgl4ubmEYXIyf97A/nlTBvxLss7hALbsuHsef
TyozkC1NncjS7x6oX7xM5m9423XBpkvVKVSkA+xvPKmIhX9+VO2FvwqdTDdApcg/E3gsLdDStDaK
K7oAWGQvVxZtmCagilQNiTHQuGckm1Sf9iCuBB2tefiSgfZkrbWxIQMWID8tntPYUFj3YBCQ+DvT
2CpO6cIJjaP6cQIcajvYjO1mohNRab1+Su7N2r+KVdJ3JGlJ7xaxdTMG9NzArlq2FKlt0sdL8EKF
MqVe5jDqoRHKns0FzRKJQVIwV9twHWkOyjtwWS0g6WEH3uwTQ3FUo9gRec0YtCi0QYtbTZwz7HYa
ww3HlmhLrz70GrhrNI9BtI3bwo9aWi9rgu3Gh8nfk0Udv27loOvhC0AmGiFYgX/6cOi19Ca/IKyY
hcmKRu09uRV/n5axyaZ+9Aq2WVu8x+nRMJTh5EdAMtiYU4JRxw9RxTylpC3FzEF8xZfqGss/GuLM
t67Z3ddRhXkjqR5MK7gqq2XO0YeTHBE+9MrvgN/SbpArabkepFqtnaVnMqm6cwkknMarIt3QfLss
cQ5GLh6zuL91cDAAlWPTPw/aztIrjGJJ9KPX9HOQz5dZAFHrLAkxPq6f0xbcKtxo0r/lqQvJbpeo
0Osg6SgfBlNRcBtfNQUoq5IMr5sKE1qTeZP4E8bpoRlcMQdeJTN7MyjFRyW4cgq1oQgKZ1SlbAum
zCyLrrS0O+r6XK8z2Ryrns+M3zXXVUQI0054adR+6jwJRr3JsXrHRN4q/WwZAOFa9pfrCgsnuI/c
TUqFagflOhmL5jyDaOHdiyiOsc1bYYqzU6aFV0/9CLpVQttOKMnQmTpByLWNFyfk2NPB95qguR+d
Mdz0cX4OpP86VT0+VcXecpk0XaNVH2UFw0WvLFdLWeRVHPR2FNxgMPo/9s5jOXJj7bav8sedQ5Hw
wOAO/iqgLIvedU8QZDeZ8EDCA09/F1pX/uhEaC5NFBK7mq6Q+Zm9177SpyJY5HQNMPt744zAg4eW
n2HrHKVKdOzO9lXXtzdJ1SrtrqrcfPmYpzw7uBiO/Kx+RsKlkMRR7CWLdSn7rD6lnf+lysR9Zzff
vXreNqpEEiR3EiVT3ZLZ3Gm7RhjnKo+vk6o6TWl7zd12OxBIHKg2Jh4z6sejE9mfi6OR4ZxCBdsn
feRCqyHi5sFwlotUDbdInow7UimnzWg6fF7GfzmcY3dpQxLI0EmZt439pUX1tCl6/6lk15un8twY
2CyKzmYyYJI7sNz2i3GIhmTEcNvfcdixfu8Cw8DsryX4FCMV3Zptd+XZIKkyrztXfXLv6u6W+NmH
hf0v0hikPTEbsY3RdDwoTIb3vtThmM2MTczM2ecykQeVY40wjNgLqXNXTxzvnLIGElDqeKuLpbj1
Ju3VtcrPqhHfC89AtFDlzwtIHlvPVvEQEmx7jS8RTeQiuq/fvV5DCJ3Fl2RiQTgLcVuQYcReS+k3
iHE+qCymUCzjR9+uHm5nukeBWB/NcviqV8WOaIbXOXEh9qud3xZku0w8L57VWkiA5Es5AZZg4LWr
vXmPbygQdXPrJ/lZQENeWoLvbEW75ZJLS/d1qMrZPzHnePL6CAAgWm3Ttx51YRt77HMIupReA0ZO
p1BpxmXiMbh1K//entvDlFssU/OBoUtuIJPAiwwhnoxrd+3SmIR3WWtt/US9xYpVbjfTDTh5HoKU
+JT+t6R279vOvM/4mXAPYD+UJY1E7t0WHYQ5jEIcYZmF42hVbCwjbJ4h3cdKuWwTcvxDnfY94a/z
PPaKti1PuS2vY+C22EST4WxpehnyC50PtjHdrzEReoEnEM8g6a0eU/IJf1rvNYTDo6aPNFa6hPch
wF2dhF9BORMJUzS4MQmWkNa002L1YCTIK4hp28rY6ck7XDUIsv2WwaPcaq25B6SzbAalmIuB7DCM
+qG3pysmh6RqmGrfl5z1WX09VnV+rPXxRnbTvZirEIrBvKP0PlfKP2i6Nj7Gy9zvxt74yPx+2rTM
xrByssReodX/1lM/D5OY4/x9PXVOStn+tZLSedEvlZTu/4TW06a30R3jLz2PqQOXRTHusJKDifNL
IeVQSPGPy9zIc370Nb+2POswiS7IJeHFdhmi/6Nhkkux9qeWh3E7FnTgY3Bsoe/8seXRI7MDXOna
1/FCkO8TZmcCvdCQFHoQk5oFX4d9VnJpvcx8rStnYn835ndCM7c+TsoCB9gEDKtzRYS5w3NaGMxV
swSzO8Au6e2WBqVtoxMHEjYiiq4lu6uwc9fYulE0fZ2oYbYM1K5np1SBtXrAObbw46r4HYEu2uDV
Kc62gLxuoREo2e/9MiUR08hmJNXtQ6xHr8w/sJxXIsVNl/+womek15NAjT8dfSzu1ADm/eRsqx5Y
88XSZucwI6JJrCQCQ5KPyEOh0kblUL+TR/lVDtRDnVNEJJaWu5bgaHb46UGl2gEdRweMq3wXZpMy
A4rMAO/TUyK1b8alLudLRW73ZLr8ePIFyVUePerKuyvA1fvzsE+XO71znsahfXGo+Sx8j/7l3wfx
x4No/NcH8VL9J9zC+ppfn0P3J/Ru2ClIf0CBuK7hf+loeEQdwHsC45YDlYaYiV8fROa9NCsCFMOv
s+BfZg/rwJfceigJ0Bh42T8Lp/D/MnxgtwX/mfueETKkwD89ie2C3r+3e+damkD4meeJuoXJHiuL
DFxGVRDHox4Hm0a/nGMbjtzqgsiq7cOetfgm7mxB/k6fiALfu+RzUIAiO7fCSOstYthBBmN2NIl8
IMR97FD8vmAe1+pgEdKiOslcza+PrdUgcEJW7kx3sACNjRtrldy5doM3fipfDNEnW0hhh678kSI0
4CtfecBUr2SlSq3dRb14TEvj0pTo4XlugmgW9+VMg6Lrq7goqs91VZxLFV3p4/Q8o1DeQPSNEN1g
IqyPJCRGuBnImkicNMG0xsQ1n1yS9Dz20xji5WaYWLi7PgI16CorZV3ribeqJ6pk+Jp1gG331JTz
d2PtmJJ+eO0mG3OBzFl9CTtALX/bUrHsRmeAkNOT6w58sNua7jIFGTL+QMwls8t1IO4JIxR2PwcI
ixT5fcN3zZrg5ZIl2K8gsSLSv08Elm8563YpOJ/EVgCZ9ZxAWXb3JDg99/bMJEiNV21PNzJAwA9x
izxoltgptzcwChOrygZ/EzGUPlpxhlnaqq5To7pXaiR7tT4nIArjibnw4LEMdJlfYguwUKsBAxqC
zhSbIc84+1ils7M6WVFBbATOCnzCuC27Kd0AD85ATbs4Dc3uQuaDvkPgmV6RgQSSQL70JXNgQtyT
PSimJCB64HZyKZYtv9siszsN/ZBulGheZDXzTszs8zzrD52cQibGSE5hNWdlei8JHUpsrMhugnXW
WZIwwoGxqS0tOjRZFG/F5N/S5Lqhp8yPKtfbg15zVttldW3rbPJis9iVZvbEYIImUG2qWt1oKKfQ
cGFZsVBRbteMqDQvnnFyB6u7oxfmF1H3ZFGl9n4Y84cps4+lVHDZopg4AS+2t3ObDrzRjfhc140e
mD5hUfE4vpSuYWLl6V6mCOuz1T5aLctT2WA7j/2btLW3Woq1we7eJ+yydHXjSM+ZsRXNyAH28Mma
Xf+AmT3bVKkOVGeWR9laFPwd/lhn+YLC7ysDcrKQCatA4ZaoMB0sfWuJ/mlIcETqOGiCyolPQMRO
wvXfyoXIDSGVsTUq/YFR6i5prEc0t3vNrG5HQbMyJeaDxRI98GJRwKzTgCFYl8SttS2jxd2U5C/4
T8p9qc9vhVymQzZLXJIgHQku9LellpWBWRCDDADtS1pCR4AKjvx+AsTuC/QwjGL3yHmbdbOyK0as
tZGRW6EHf2bj4FHN2/mGSJiPJqcjqRp1XbsuAs4oPjUFPgBHnz6gcN0TO+VuHDbqGNfxa7XL/DkO
LGDx+pQBcmRri1XFW9ny+j53xzUvjUTviNQah/XbJtO1ijcAYS1qrmwaoviQyenNibuSNXlZhpPj
X3o4C3hsPrJuMoOKZgLxzcwbqnN3iyY+m9E6U6wf5qUih4vgTidWGI0hlBDTchaNGnZ0XrDge+fe
Isf0KDsEyKxgmMwY6UXPihPrhD2mhzNRAHcpHPgiT49xpx6iWH12k98G5UgKRBXdOFr9WHurqHvG
VCti6Zx9zkXORkYuODRCt+pXd0f1UlZAx90RqSCm/I0NOT8cJcSbZBif/Ra1eF9pPNNlzV+eZJB0
OpPHcWKX1ItN4REx709Gsctm4DDjx9jMNE82CJgSTkUMr2JawRU6BAuMfkaIkfi5WeEWGGyeDcv+
iCXYizlzYYhAwhBthbLQYqsn2DrzZqhhZtQrPGMEXBPYK1BDX9EaqnBvBwz70gRqqEnwGzkcDhse
B99qgG79Bk68tbNXZIdc4R1L7l65XO5BDIyK5V6y7SNvOlor86OOoLb7y76BBlIwgIGGBSBEX1Eh
CKOezBUe4qwYkfHn9eG/VdLP7QpNxN+3K1dv2cd/6FZ4zS9VEmJFjKHoBzGksgAxGQn/UiUZJvZW
i7aD6IgV+cmHfmlXMKpSuFAl4WHlDFg7mV+qJO8nh9U36xRMsSb2rH9m7FiJo3/sV9ZOiUGyB8kb
s+OfUeHoVdgFqNK+yYZcnjVZqOhhmrJSHRwjyfYjvhRQANgElGcHUNjyo9VAwbF7zT5kEZEtxWwU
RF6iXifXyBO71e+0wZvLUwtjwbMxmo1Mf8mWK08amv2LixSevYrYOYWkh4cl5C8eIexDiyMCoBUe
0AX1XSxJVxzPKZGs2o9sViPt7zviWo2B3NZ8TXBt1yzXEaZBTrjrYtb70ZD3ak19FVhhg9YAWl8S
Cdst+rXf+h/wrQh59m4W5R05KB9AJO01ImU1SbZsGVVnRdhss6bOEqLMBFRuPeJoC8N+kok3bRA9
xWzTzZq9sPzCXvaIbD9MRfQFFMtbH5NyOw8q2mQdybdAr8AGWy5TW1JxmwYcAgOas1pHTlljoFbM
rxX4AUZP8qII120I2e3gS3b8oOGvVMQhjozRovpUrMm8AKIPQLKppBhurNm9PrOsMINf4Nbk+pru
fFoI+vWaVfNP8m/cpcd+zQJWayqwz1S2WnOC6zUxOCVrlF38F26xPRtnaMdms+zkjJVM1vG3dk0e
nnEEBtx3e1isp3xNJ2aIdl3W+HPHNbl4LcTqKLZCs/nE9SAOTkbKMSNMRFA2Q1FX/9TWJGTL92/U
mo28rCnJg6sevTU3WSNAGX7qXY7jxh8axpEwmtM1a9leDRbTmr9MzXjyCGR22dNzyYOi1glrtght
hhP2dRLLnfK0R4Q8X8YadExDzDMOOzBNYwbXsE2vC+LnspZM6MZa06GJiZ7WvGhNt9EE1XKXEiU9
x7iA0YTsXEKmZ5YzODOblaaZOO37QN9zhRIDjVKx6iA7iPt5MK7qSL5/mFk/JJORnSCfHNABu3gM
XOhZBadBQEtS+jBxeXG2/sQXbh6ckiDvyy7Z+RrtCXZfMjxptuPDPIibhYfhDqy0u880DxQicoUN
Df3JNFNzC2IErT+vWZJau0klVbo7iYroNLT9ja1M8mj1GVmnmUzHgtHhxlZVcvK8CST3YI8hqJdu
M8fQsMQw7EZ4MJ6QNyB8qg2H1MXsGS7jS7lD2SyDNk+vlUMnYegvCFrmh0bXsi+lzrzfUGASTdRT
etTUodfxhmwcM4OqQSNhQW+lbcCWgDyFYh8fb2EQHO6WBHjoYz9cc6ORrlGBIdbmS2bAPfJLA1dy
Q+GZQ+g1kva96bW9Dg1tM5jNkbRLk4rRO2ks0E40HV5QrUNNoCfNV4NN8saGVBf2cnA21jpOILcO
Ig47m51W58DUukV8U7rxmhZFxGiWPzs2o7cvF8bNWZZD4S6gUbZaKtjSqoo6Zf39Rk6xWazorKB+
5+N4jRki3Y4k+6R+cxePfNdCs3e6rM76bO6TgnjUyoeUkS4N4g7f206AQjgzen5DC6QmhB5A/OZd
URZ3sZ1YsJSpIECKnQkxI0+sFvvEzr6Iodn3WvuwZBgw2MhRb1PMlHp2afsGiTibpi0Qon1U1wen
bz+pHeLA5vIIIKzywGYs7y7eVDwWbZpf+fFwW/ITRbAH67OoGH9KPEKIcV4YEO1Gq4Y14H1MlcE8
vypOXTYi49CnvetYD/9WCD8qBJt7++8rBPZ0xHzOfy0S1pf9rkiwSD/RLQub4J9AF+ZPzu+Tsf9/
hbCmZWHrdF1I4z/L436rEPyf+P9okpji2Z5YDaP/YDPsCr6uP1YITHFwVLDd4198Kcx5fq+OIz4P
DZtqi9tSry1kQUbPGnFe5yJAnedVdDFNA6r43K2/scH7ulTU97DDHuhR2QW67zORd2Hdy0PDBlXV
hFZ1Hsdob7nXomMIoIFtoS1hlhFV/hDYco53Ru30sG0l4VNRth2GuNumUXXTzt13zYHGaPvjd+QR
VRjT7PY+enxoVucJdjUO0PSyopUaUdlBhSDkmqAdmvqIjyFD/a5VPO1N37wP0H2WIpv3wvDetUnf
xRhGOVTlwUULWLJF5HhYWR1q/DJ62lPezYjBMv3BtLtX6bGKwVfpcVCZzo1EW4cZDlcn6I0GMYt8
cwEk7FubxxinxB0W7ZsK+A7ZPMYDZqqVXJbcTQZyLWF/WF2xx5Tx1lrJ2TKI+mlAJ06eccYnyp/2
D4VoXnszOVZT74A1kq9V67z6oD5HNkmW+a31/W+N0d40S/JiV9O3zPKKwDDFwurcudX4YrkjxkMB
GWeTdhrBlyRo7Vj/PuBMv+5r7Xphq4zUDSzDbGB+t5VXHFO9hW2kA4YchXWr2SMixxV8Adfa3Ur6
vTR25B6ihrNTkqBC1QPqaacnp9VOFBgNVtDu5FVMOoRf3NSz5W+J8/aOTV0atIAjaQlpxci7Z8c+
5x6BWnETpIIwameIptDuDUGny0fd2Tg0cnyOPHeHZe/WEf2NqFBeapqv9g1ePFSHOGaz7GjYyAim
jmsOtRsjC9EcC42U7sbQoj0XfbQdCUAVrriO+VXwJ5v3VGvuncG+HaU4ytSdto6R7nE3PhWddfBX
V0S2OE8d0xNRyOeWyCZHGNo2W4xqw4CRiE4uiZ3XL6+w9WqI0Fg03fpF6yF25O34pPldjR4Av/OS
ayo0h+xh1ow5xE1MV6xXn0WrFSS21xdr9m8yizyvDtznxqvGq5540HDypurGHQvJs9J4xHUmpKXi
QoQBy4LebKa3LqrTQLT428yGUA8zS196fHN58mR2es47MHFDnrXAAha19SAr7UuspBuQKvVh0o1o
axI7yvzrYpVY44oUXAGmnTvI8HE4l2oJXKO4TtaB56wx+E/IftxOcjlGU/WWTSsdzxQPlnnS5s9M
EJGhyeYex2lozlPK4oPxFDEEZCN80oYgJXCtz2YRXyjKcUHm1zWeXYPVzMZutTh0QKhv5kLdx337
ltMMYCo/etVysnqQhw0yENZ/rHo91piNN38abfNVav15rLq7vNYuHT31DhV7sMCVhk2OilbAISFQ
14DLkIlNz7WIGaH7rNcpYU6JhRfUfUtU8xUJM9HdlZZtjGqiTRk9B+IWHQ1wbQ89i/XKqas2ztzQ
reTOt462b8OeKgk4kM+t1kxIBfp+Fy/DqYuo/I1G3jvx9JYmNnYdK0Pcodo8rCWb1daiyyqcAPQp
YM94euhsWC6MJcN8wguhsjWrtLQbHrqKR8Jz8IEmaVhN0XW1GqitPpq2riYfaJluqtp/8CPrYE4z
YKByzRWZcxiscF6lrnay8/LXZqQij8bhSqP1ZKG6Pth2+kIwVoeFfMx2HKsWdsr4fSorMEBWshvG
8sSBfj9b1XBQiFpoq3pKU/gx+HSDwYYSHwumt0NrUokRGRd55SmOHGubqfyqjYe7xMbHaaTMYxOz
pQtq9LCUOa8dhgcb4zWVcf+OlAS0fN0ASyqNGMy60mAoap+sAbkv4ibZYwG4Q4r+7pg82ypnzoW6
BF/7hA+KuWx5LTDpYstSr7rHqqkjBxD3KOZh0wCFwcSEASNntl2XYpcmotvhiHjHnPqC7dfajlG5
w0XLUJ1f+YbrrtmOJCZuOlqRne8b/EyHhI7PHA++tAoKaWRCZmVjfLWGp3gGGsaduO1WH3nCmo51
O11Grs283Tw3CxAt847Nh+Sq1pYR8Ed6mZk/osfBIC8FrZ6WOU92N+/XQbtd2bfETn9MLOUByaWv
joO/e2w03np9eaUjEiRze7lw/wNtx1wmdP3Y5XWDFN2AuOmJ6lXlaX5sMRHT4qsAFMiLNls3xOd8
H1W+86P0icteMApvoaQS6tgm8sZN1CNZrwdTY4DkAghBh40GaLbGQ8TE30VwuKkGa+RLIanQcN1v
0BK1oGhwWSA7X3Zz5d3rUaFCmiYLSuFUhqwhAJ/mfXQUzfzmaLwZungwdlnmYdqFCuRF2imR8o2C
OJAZXJ8prfeVqni9W99WGWg9gjFlSN/2rSYRedd3yRfca+4mVc6t6J3nynIoiPPpsEjzMxWjyxmr
g4jA+RJ6U4nt282hPjksNeC+8vZLdYz4yUwow6J/cdrhGtEXm9KaX2zD7iOIwTsHqTuPW0dL31iZ
XrKE3N4O6iSaI/YHAy5oq2v282L12960020vskOKcgDwMohn0SF4UAZEyCptGOD63vdYahN4MDIS
UVwJNqDDEFSgbisiVjhVnZfCk2DjZUQYmdIe6UufGp92tExoE8b8qm+BP8vew+/cVkCJrPihc1hd
RHlHpw/GqRD+k1X2tzLHMIPKZgwLkJqA7XiezKHbTZIOAenTUaNy4oFMxXY02vdaFivdgse+gYbc
spd1xLhFzP4xokrRaufTEdqjZnpcAgVClMzPPt1V4GLkxrdhbs4+NzkzIvtbC6wKYxN54lI/RaVZ
otQboHQ42YssinZL+oWx9XoGEFqxk9G78OQVhQHAIIvBtN6np9pudAjLaXptJKQBKybs6Ei+SPJQ
N8WYPuoNej8QEfdu4bPLZvxkweScVtyZEy9YteqqDFWHNRT9EVKlTPHtWIr0jrGxwqqyzp6qbj1v
Rn3kslfiuft0DEBMvGdofDJzJ4YeDOA6IGh0phOE3/BeuJhO0q2x0c0GWdaDk/A7stlzUl5OnNNN
eZmsptw1jnXSve5bWjAwJ336RU0/JgfiaQERPc35o8FiMBhbjlRXvA8DWw5vLOEldi7plHl/VbfN
rhQTFtMZ8iBayYp3bfrhUxvHA3Z7VnIfSwHwlKX9ulU5Gkb5SkJZ0LnpUz0g52mp8tyMo489J94L
HwwUYme+yN7di6n5xHGgOIMn2BbUfAQVbJM8fSWW9RhBO4qz8i3ysve0628sS2El6PRAFtMO4CQ3
pakOs3Lvp5gYG5uxfqSqh6n1D7XlH31bC4D/wosyt3Oiz0AtiA0DPwdM7arBFtYnNWRfMRinNoUE
qaRrZHd5uTivc5U43rXS7IH/YXf1ACwVvY9da6d/e9AfPajBhv3ve9Drt/rtrw3o+prfNaD4Ry3b
QgaDR57s5d+m1NhE2csjs9UFqcy/Vyd7P8E9NEw8XT7+yB8Wg9+m1MCHfD6CG5Scvn/WgzIN/3MP
Ss6fSToWnmvkAVhM/9iDNtzHlj0Yy01dY3vUjY6LHqkefvP5SU/VPoq9bxb4kiCq+3fRR18TB7YV
DqJza0c5lZT25A8qEPZ8sReS9+yOXEoOTvaCyY2T5Ls58m4BPvA06L0RqlHss8m/jKZ9VRXV3pP+
AWI9OmUaTc9BiNLIFaDmjA+Oja2nM/UPzSnP1IZobwdLXty1SdXqLCKb2Q5ng/2QQgtc0MIJeyQ+
2PCeGdzetkZ+YwO33/RNCRuAkPvnzJn30YRGcbb9O0SWD3LM4LKynZztlOinvBLB3FkfYyXTy7L0
NRJ1Pg8s9f2iNURA97QJjn4otIz4qUlvAhQ5cdj51DyI+epTT5xcaNSYb3vD9YMsVpwBNsmA+bvs
k2DVL23qgRAphYF9W1npnij5aecKvHFjdmjWRaHsfABBcdBYuX405upsCo44HQR2hHJx6zW4ZaPM
vRqzit3a6DwoPXF2s9d0W60c+C78xrrxcudYjmzgSO5yqP3t/IhG/drJzK1Zlt227aKvrfQeU/rX
Y6KZB2uOPoQloIJYE5ZQB2wH5BpKdSbb0IsPVRy1G9y64nH2fErNyT4WJVR1S9b3up4fJjQp2xhm
P6Vlq7YwNKOjMw40mSKjK0l92gb0H4jMZwa3rD7pJb81esngWunDttMW495XukeYVxbGNtBoDX9L
oHW6oFBeVyBw+AuigKPy6KwbEulxlY6alx1r1ifTukcZLDYq3DnpvqN6VAfSqStAWQwYTth/v0ut
YqhKc3daauSLet4cGyUfW+GwxO6Mg6WR1gYEC75gb4eDB/B+KCtw4M0KiPqswKBsrGU8i2l4rVsm
0mgGnnsDrXfCGmo7RPXr0HoCb/Ry1ZcTImyxdlHp3dJ5w7YCS9qN9oWdOY+E9tyNutjSRwOMYqbr
SOvGBWjUkyNpJ6gnWiurNn7W7hG2XOUOcxXhd1+XOroZRPaEkBpekh0dpaEQEswQk1NdJWGTVu0u
ics3X2QXqiLgXzIO8Wheytw/dGtaI5Hp34EKPlXaTGymJqHTGeK7mdTPA3nVmoTA2eA8ehsam7JQ
+8LcmVam8y4mqIqtPjvZnZNZX7lKzq3ufkfGfJ7t+nrRWV6jrqbDs28m+NWXsinYHpG/QUDU2QQ+
1DSQKwD035MItYrfZ0bMj5kWWrN3rhPm9kPaElyGtrystcdkcElRzvI7L3E19AUNCB+YOU4fIQrA
e2hH1ZbmKjDHKCho3TTNOQAr51aPUkWEQutv2a7DP/IvjN6P7CBuEga8PfDuxhjb88A0ap8Vy1ff
oYDraEoALygQlYQ+pxKwlrrqx+Xo18k7GmuxiXSyTorR39RJ+tDl9rvfxIrMbGyZpXKfYR6WW72I
eIipXDZm3IWF4ixkmUTmW1sac3H9743748ZFnfZfbtyrt7b9+E/evd/duYjkfERnDuGyBvfqn+jG
WHvw9ABsMNGm/ubdY+7LRAGzK+I6BHYI5X4/93WFi95uXQ+jdv1njqAfIr0/zn1thHoWidQGRyrG
pHVz/DvCzdD7k4ZCdbyZR7N1w3iI0hQ1PIRyOScx6PTo3C2ZNMM5HYbsWe910C1YDpPuWC8JQLiB
i/Kqnf1xCdPJ6BaiDeuyWtGfpmN/WwmllJR0/EtI381iCwfzYXJ06X/6otC7h7ltKYe7BIgxmrdl
8YO8rkbOQbzT2OOUIw1K/iYbkaQvlW7RCffcd2FhUBmHGKog16yweXy0mb6nP2NU0QzSsp9yncjG
HTFtRyyGrJlKx+oOtTbMh8mc+/RzXFGw8gcVVsq06MI1bPgQr9hYLfIAyK4oWR/ThwZYcx5CLcd7
PazQWT+mKhEFADeEsvb7sBJulxVT2/0g1tpKWnsbiq0zatgUSu+T/TaoskISjlvzMdLWQdUMgHCR
8I3nWJJl4K2rNJkUxgZ0Bdq9FaIrVpyu8YOsW6yQ3Uagb+lXIoY+g+D1Govt84rl1VdAr7OieusV
2mutAq980v29V5cfmbvYe3OF/IK9sfZMNpNQ/EAAS1Ttlt3nt5mgs2SwAsOEkU+BgC70Voyw9MyP
eAULowfmbbHyUgtpERZVAeOD0fdO7SMPzpL3W3aqzIia5tMdowh4PItxFz9SG4wr2DjvDFqUqmhP
/oo9NrQ4xUPB0E+uUOQMOnKyYpJRSnAdr+hkf4UojytOuV3xdQRaEdCxwpbHHuZzuQBgRtHzmq9I
ZrnCmZsV08ycBeqwy8XBpaDQA4Fzhtin7uQPxPMKe3bpVDbLrCvyF1YYNAZoTFQ/ANFDRcyOBTR6
0t0eYhgpd9GKlOZ6BoMbpcXh32Pz52MTB+PfNypXVfs//1vKj/yj/Wu/ovPSX/oVgsGBoTKM5ZT8
K1HCR1tMK2NytKKi+U1VY/3E/gpeO8ss9C6rdOZXVY3xwxLNsWoT8QVT4h9pj9du5A8kHAzUYhX7
uEjYyIn6U7eSgoumrffT674IF9ulXNhb6uV3P5jbn/+2/yn74rZiUt3+3/9jeHwjf/ksdFeE29sW
3B+bH8/vz2cVIcaxFzu97qo0yRFPijLeYAP0tpFpZGFqtg0QAEO/cqVXkmESp9t8ic4DopN7Ucd3
eUL+ph0nV6MQKGao3Qn5ZBOX64nYChkfR6M49gN+qIEOv9evxDLetbNxUUt1nhrzBjf3SaSUL8XA
CBatrr9z1+MlQqC7JmZ/15lib5yMQUHaZYwS8/4Th1mD6tOBFdYAnfJRQMyolQmunIE4OqdRW4p9
NE5u0GktXDXfYBzYL9waWVdCEDKs58j03b2b2+ZXoyCsTjMF63eRxU4Y96pGIj2r7KWqdOKTPFLV
DtInHOmomyReoCfwrp25nVlwk+8Eg8uLIZCbtek9L4ZyglwZ+b7R8Ort9WqEaL+tdS5dxTCi6OaI
jhJ7q6cM7cLfXweryDPTpv5caeXeY8ceUPmx9Vot7o3rJQczt7JTD9rBu+XzteZXe5awxGmYhopr
1GRH0tjTbazjtVJy9tE3Ou5pQBDwZe3XXwY3xjGfzwBrurK32IIgmtkahk1J7nEjYzMdW/+pqnCs
OfjFQ8LhrMCop3ibA6FnyCLn42DYDDj7ng0QP/MrZuXtW4u8appJw5jZMm58lRw1A5ImjAG8IuQJ
3y8DSgcx5yEp7f49uAvq3JTINW9m1VXVBRiSzAqGSsfLn7x4hc1SYSmGwFHJEuLcM9gToOaY8ik5
OcQMhy5CkX3X5fq2ZE0BZHIwgOyrdu+Yw2G0Shc/rtHeSaQd3DDFJSnzC+FL5a5okjurso9e3KN9
d/IDT0wWSFPctv740Onu8CQBlH5WjMLbNAuccXI+q6QP7KINskjpj0Lrd6hBCfitstBn9ph56DQm
9CqtU39v2+6jTJqPOZ2fsaQEjTmc/KnYcYCAl1r21iQuszegce4OIBOuFsakshneUbEj3NJ2+ahz
/5BS1s/fILNxb32LRK8Ho5Ob3OLEkGb28MV2kvd8cayQIXR7QrMDRndcrozCOJrSuDh1j+Az+1Lz
68N9h5LDc9GZOjviZQ8Qf78QmhDKgvxnJdTGJPdtA6tfYLeGJ6fPSEBc95bv8d4mpDWYkkWi0IrI
bxpEcokth8SayLjr8rK9jKo7S2PizbyqhBXbtCzibvSK+ezzEIkKCL3fBBOJcV5t4jiuXrSlw2rt
PvSGvCtVfeXy34PhXxX9cBf76MOMOjQi9LJSThvW17CW47FG0E/zLxtxnWnZ1yrTv9aof5M2w6/q
ndD/3+FDxjlMylueX2yL0Xqu5vPiutRiFAke0W0qcw+9D1W2QYsUT+wFl5GN8jIf1VKWJ8IHvxcz
Bk4txkk4S2TQ9mRme+XX+6jVtftl1tTuv5+8BIP+9eQ1BE4VZi7Mvfj3H0/eeNbhAgPkv65UZoRD
7s+hi5U9KIgFvOoKcwzcgSQ24NRUTcuHXqv2TqlMPHqLh9Jhmu771SkwRUHmuy9i6ghxcD7LLJUB
avomJPqapPJZ7KqF93QeQf6P7HY7UpDCfIUa5HrdgbikdyIk+22Sts8G9LUQGztJxYKWPC+3o9q2
01GvMzRpUbnX02ZvgLHOARW3hft9zouH3k1PAJ7PS/v/2DuTJbmRLMv+SkntEY1BoQBKumphBpvN
zXyeNhB3pxPzPOPr+4BMZrkzGIzOfYqEhEQIaTOg+vS9e89N9mUL2q/Ij3atO3QARtJxxnCrD0j9
a5KepUfMTkAnyKfX59ZqfS3Glk59IPdqgOiYjrt69BqmKlE13EVhJxaObEuuBf0swiljCCHhrYXx
RVegx6ijXdybG7Of3a4QjL0sdhiTzV5iAL7gZVamXxwTn9Q2K9PPYdIfiJPZsq8Re10gZM7Hes1g
5RxHyTUEUYRnWZe4kjSTpTEfg6vqkllj56Y0yqn/ojsxCnBnQ0jPwWJ6M1tkuEBtZI9xXM6pdRut
QM8itCea925qYGNxxLZnHTLq/EvuWEe1xJXjO8oXTyOPpNDnSRxwItDK2k4p5rWsOYaWfNRVskRU
+LHkaj2Nqa4to3qMYUf5Z2MyNRc46BxKytiT4Lv2PmeieMAFV10kVLK731+qszTnp0JECgvbI4kf
hk0qzucLNQLVidg7JUCOvp4R7Sv9H0j/t+G//Pf8F2XIZ7sjT0lQCQIXG9vEbLCc2TQfixBDAvaz
HR9asowWijyHbbgNi+uqx2teJctQYoaOVr//VBxAP32uP7/qT5KktoibQhiKcoGv6AYm4Ux1yG7Y
FR853WHdYjrC/Nd8kJ6xAyqPgGiAwplkOCJUBkvLrJoec8U6ho1Ql4yy1onTa692ICw3VaM7SQuF
SSQ49EQ8YZ8Y9lpiyJarKctX7WRlK7tQSlcrOnvJSHTctYNlvOZZRMwOZ71VGIZvCdfqqlRl4LIC
j25Df33JkfqmFcmEvDO+Q6+o71LfuAzQNCEF3LIp3dZVtZZ1Xy90M9oamK2RF1OhJH2WMWps1WVJ
iqFb9SZHqHC41oMMP0PYQRf0aaA644GL/mtZI3TABbarhLJFDHw7TNGDUOO92eTIZGduaOgZSJka
pFiyNXfxFB2Q67jZ6OmukagqG0zMKqs+dCpalDBKL+xg2GRVv+q8iStYXcWNny4DztZ5lNowCSLb
rRLvopidCqa11XIMVrY/3EDRoYCjU9Y2dJVJ6VGXk9VsiBKijd/mL9IvLyo1vSqB+1TN0Cxqbd+Z
ncLx2dhaSErdQtPusjHYDh7xl13VngrJHkn2xY5z3btdqpjNQntRmmLjF+Jo9cnyby63v7vG50L8
QyME04bF6IGrLTpmlyjS1uWhvO83087cyqPN1rN80/sF0tSL7Lk//P7Fadp8vIV/XOrMURCR6KCa
5jf34cWh+9hZzHz0onDJmjnqy2KN81w7KA/WWl2pd2dleXzoVjQluxf+lZzGo7rYh2vvZDAy/Zt3
83nj+/5mDCIlTDCjHKPMn3hOo9qjbNai4BSol2CKF6H6UHXfj75/uaJ8XrP+/BqzHPHDB56qtFWC
AKBFXr771dYZr37/jf7yM1g4Hay5j0aL6/PzI2bExhSWbN7KZelwP5jUnN9XqP/z6UPU31SVbznZ
daEfND/97//c5in//N/5Mf/8O58f8T+b9/z0kr7XP/+lT4/hef/xuu5L8/LpfwjpQ1p61b5X4/V7
jVznh85z/pv/v3/4H+/fnuV2LN7/+z9fvqSgTcO6qcK3hm/m+5/tvvz3f37nlRnsIH99fAeG9B/7
/KVsw1+0PueH/ji+wyYDggSylrkid8+8L/3TFKNhfZEcnhkqWmhiud5/mGKId6eHgJGXSSTH3o+t
Twt7PzfItycjj838VxSvNBA+3XNgyyjrHOz7tFEZRVrip8sc7nc6DGKszqPSSdy7OlZVGuiZHTHV
CbJzKORFGFjBSZoIsTksXpUjBczkq9eGJ67jqn3P1QL12BDs6I0eAktbd0RYxLq+VLppn2QYYzLN
nXTg9Z0YXuESHdWEob3Rpidd2GvPt5BOKet8VK5YQe+sMXswoe7YXvlu0+qqmEElY7aLcWkGijKH
/Bg70w7uKyQrGGGvxjg5tWRI4mA4DaSGUI4NR2lPm1lg0Yf+nYkoQuETrZKqf3XC5sIjxqqpjGei
Ojdd0+wzTzLXBA8rypMXBCcnJx1rQh0WFKcW34qRs3IP+gOohm2gYbAZRyRMkJ60iFtLW7HZgaCZ
3EDtngBtXwZBe+H347KjGSh6VPGJPFWcG0Cz1pWjr9KoR6/Qtmgb7Be6dbiVxQNJpDuldpCZ1Xji
JoKKIpeSeiGLivYwYiRvCM/zhhMjoNAiBFR1up3G+jq1m9dMH06KnZ0Crzx2Mt2aiPcxaWzbktGg
X3wFcIJHFvOw53AGE9dWgGCflLttY2XkTiXgLVtLoaHKeu/FL0Yurp2ClO4QglzSWudWaY6+PkN/
ul1FjVtbynXkUHSr3j30qztMMyDaQP+g7yMUYdZweGq5tNLyIrSTOVW1HK6SEcAL+ocXq3OqTVEO
NGbNFnFt8QCoJFiQQf9K3jQlblX5arn63k/3aruKthFwqh17ehWdxTRBeYiEzIxNV2XMqbSeX3+o
d8Rsq6ipaOyAd7yO86bYE77aLWvkhYhrgT8N5kSUNdmwNIZpaJBYq7ueMUXXuqZvYqhNjMv9bZRp
9QyOsEGPa9OSqOVpidUKEVaBCKmxVSRQVi+g/2SmW8vxJhRjCU2LOZNn4HqdWkSwuI+Jx/PrOwbB
FBGypcWT6FehTTNlou9uohh3lBns673R06DbIM6Tbq5FFcNVitHN0Q8WiffOEO+CsKsHpedxF1Xb
dCv+LmKnoiVxTvrkl+dXeo6pGbGYyzS7WXgQD5cTsj2KB/HqY99fqGjtFkVdtm4tnBPtX4DSQ/TF
UdhiO0GOBMLz0o11+90vnOds1O/AJr7z/mka5Wq9HEdO6kZBjRSk1EJ43ZAkxMjjO4KAiqRyyRU+
d0G6p6C8F8P4tbVU/CP2HusttmKlXbGz3IeTviKQuTyNXl+uOUOSo9cq8iJPvBu8QYTdMmJd6d/A
9AJtWa9lj3008S2X5Crnc3DN0FcuraJsHcXDzlOSTaQ64RL1FZmPDGGTZjgD3X5F0Pc6iI5NbwA6
NVmScNjO5JEJk+oKTVipr+0CG1hp6Bsv1x+bkpkGyxSzfibwiMwWrQwfR9/gyRXxFnpl6koHH3bb
vCoIv+j5cMzzVLfMvAcwrhihmcNPOpWriGdpgqLPsrkW5HNxG/Qk56jRDJnDWE4spPdI8TmTzTyL
68tYI9sgxMTpuUXDGKFczm2Jc4d5hGF8TVV9AKTkc3DE1RKizyP2r9yF4SR5b92+sOvzkGI8pG6m
uWGAqELy3XT3marum56jdKLQfwwJ4VnAmj3GgXrT+83BzIJbbbRwC0co7auIg5zoDVcOyjFk8L3I
xviuCgS5OSlh9ZgesFgH6KbWiGv9YKnk3qwHp85Voi7YCaxepPUhZVQxG6oT58Ix4/SZ1WmOVRIt
VDxeFSkSTEsbkqsw57D9bQv+dy2iUSr/dS1y8fLl/VdMxvlRP8oQJrAUszhaNJ1cWHywH8oQ9Q9o
9swR6B7rZLzyRz/KEOsPxEgOqR8ce0H9fCxD5B9IpTHe8ABDoyX/L3lzhZxL3Y/Hd/gltmVBK4L6
D31gfhMfS2G0JWOtN5p/9pyU1jpa9aYGvp4QtG40yUMRKwgCG8ediGK35kz2LPVpI7SzGpjsrA6+
hmNySuth6FvJYQCkv5hwx2RwrF0Nef98dmQls9FHEgjPkkFeReg4KxEWb1qLo6Cx21ODnqjTuidJ
rLyGW92cc+ZZt56lk7gKjcx72grqNqOT5Ke9t7S8WRrcaPm6Jbo+D0Gh+Jr+BL4rc8uQKS1CcWZ/
ihTrofG+dn39DqaVZGkctSs7h15Ix/cmjwM4kNnLpPb3iEASChgffYpJdzlGZWRKxXRbkq0XhRNA
QrDyV9uM3gKrOqWmKlkm+IhtRfpqXWiXxI25UeJfoFA+YJ6AG1SZxIyE+qUZRZdqZpAqFSYNOBL0
uwmdjo0URbfo6v6NmHpA1lobLuKAlNgpMGEiqdFt142X8JAwOKnkCdQGzvw+dW7qFKFHql0BtqiA
agjAk850CBJnHzQDnJZABVMQkFbZdDtfKxBx5hQdsIsAM7QmMJGwhhYRqNNdHefQ0HITHA3iToy5
jbGHsxutnXj4wqh63PtdACAxU3FrppG9MZAQ4SswjrLUdqWwC8yCnnc1Khnq97Jx1qPPyd5JCGzy
lVAuszYLrnIJi7HCBh1aNNTK5xHc7Kb2jXkyH9Ao9y12z0KsLchKAHKZkMvMWzd+Oa2QnUNN9NM3
9vh0qVn0kGF4p6sk46A+pN4zBIqd9KviIowLYs19YyRJNUR7jyJLnYjn9TQQoJms97peXtOEDnCZ
EI4WDSYXZAtDS60B41SoUpZ+O721lQptsm5Z8RWRkFuVOfAPcmsbRjowktG+wP7ruPYg36uig/fo
aCdCxbKl0XAp018eXL9D61f4zMg0Rd4QG/zcWXFE7h6zptq2km1TD8my9vsbZfTqnUcHGiAmeXEp
OC4c7Lh6247L2LEuPRXRWSkSsSVA5smJ9Fc6rxtLGZqVPtQXCiQgvmebzL0+c6egfB0dMTMqLNiR
We3IK5zcDXrhifkee8xMmxgquBNG/w5I9GHwuef12M4Z5KCQGxHgjTO1AhfQUz9zLDybytKb2Rbg
wO8Hev90abGKDji87JmEkc9MjBg4hp1DyejBZTCuInBjJmhoM0sDVkeJIB2+BsnvtxPAjUoWGI4g
cLR59jUEyaEbwS7T7UNnkyABsmPC2qfTxA+U4EKdmR75yICdaGL0AZW4VnOMdtrMACkxh9kzFYTG
9C7/xgmJeeOOv60BiCBW+CoBirD5zUsTymwvHfeIvV70ueFUarNcEg8Xxp9O7kOixOzBH7x2GVlN
8wCKpmPzDAoBxEep8hujb+t72uo9UxKdLHqp1l21NULbfPbj3Nw3dZH4l4mf+PauKRXx7PlS9y4i
E8BB6sSN2zreg8aUZGUOGD2InUjA7IhoKzAfrCi1kmXPdbcySSZDqKk+taLdToSNLBhZbgM5eRgL
sdVyrsJKkXtX9jSdh6wlVS6lSgaqcJlIn5YfJ2I0+SHLU5zoq9aPvvqVdVVBuN0qvbkeYVxvE45u
SwsII/MmZhvdfWnm+CrmAaMHN9oh6LFUp0sHp2Abj+ayKNQXbWAdxw5H+EB6rfVasmwar54hmSHX
mnceY1Vfjk0Mb9aPhkWGciXeZTlN69rIXkjxDPCiteS6yfAYxtGrbvesBtSKgGqyciwWk21uPCG4
DxPEJpYS31IxoeN003g7ezmzCaooasjOPvuaiWtojL5KI9hPaUNzH/gkTrSVRvNoodkQ5JOuxEyS
9jfpZAxu4LH6VWnqAyoqCENEKIjcL4SqDXl7FDgjO1Vbpj0aDF2W12FkogSqrKOHyTOv1XBZ9rDw
8GLeloF+EgEQIdNX1mZV1UvHyhDU0ulOy5OCLHOZq/Ihsru3qJfBph+SQ18M+YL+8MErpgdcj+hD
wvNo5ulSb+S+8KhM26hYh466K2r7GWUBSCcVv4tUcg3wr3bMjNBYEkRJaQjNkjEZaCXoWLp4l5zp
1v3EYmvAOo1ShErAHMBIjQNmgWovGhvsVQg7OKysnQPGbOFAkYi7ibFyeEPkF80Wa6cTQh4TKNXl
yn08Z36qJGVVbd6w3HTrVPPfI8fZmn2+yxX+1Cvsr3jgvhS1dkj1YPPvevK7NIVW0+/qSYzcf26I
zXL4H+XkN9QL7Q4GLkhTvinl/9nVAvWCUJ6YWwc4B9DK/y0n6WrpKgAYATNy1ox8EPRZf8yUfuB6
BtMVgdDjX2lrwW35uZy0bPTzKPbF/C54ws/lJGQo4ocVdTobaXBfGtQ7CWOTRVaUzDKmdG2XcqNx
EZkj1LPBuQfrhoa+HbjLHXkb2eLCyJtdGkWrsrO92rWsFMBFyKT3LskdwlB09cpXsmrXsBA6bpZE
yqsOVQB9nWZ0wcECfU0meqZ68GataFs37HlpG7VXKsQIN2/lTR/Pc4NuPDsmSSlDZrhFgEmmHPLb
cVTuczO7w3PXLlSdNVmtqC+U8RyE9l6zDHcM6rdqwrocZ/3Cj9TrItIvWRbu9a4mRRiR/sJr5glk
FVM3ZF9HCOOEumlrT0C80CFtUdsO56bSXvDODa5Jz84lJ+lL2aeT26iM053BXvlqA+wqDwC+AQUk
ukMR467HBreErXHQaAwZHHVbLThMrbVEH27BBgmY1+vdoeqKh0B1nhRh5eg6jKuYnODGTO/jEB5h
FU13TdWvu1YrTpo3+7fyrzq+xa4Kr512rkiN9Ihfa6el431ctwcl776qFSWpqoxgrQ2Dk3WI41xR
4mZhAJcua6VYGoFcKmNOV0dnWmIyUjjr6BZRuZWMxpoes1BOSu+c4pfjAF+kaBVXdhzT5RkKDRi6
9RaM/j4zwMEgXMYgO6DisHVWLGPbttXZSwiAMphzYQGvygI9pWzTTWMmHCjMJN0ZTbWsa/OiGYDB
GTlt0CDr1kL1XmP6GXEyKAvRUvhlw4svc6CE7EV54iAMIGq5x/lEroPyosJJX1Zdw9qKQ0AD6EMY
mH2BBIzmj1q3a70N5DHpDfI9s+omqJGZ6E0KoEP3586OE7lT1c6x59OyluDXks5CLZ1qG+bG2EG5
/k8toihLETulrO8Ri23VVr/vO7y6flCrblPrGnMVPToiZKW8IyMGG0BK+m0XKYtsiMTSgHqwGTVN
PRWDQWdLn+vTuNs4omAW5+/TGEDZUOovjFhMUDBjeMb50i8dcnZGG8J8AzsdDWdCVGv2Otb5Wu/C
x9wnq9FpQIUF/J4RrWLsWXIRDun31f3T4OKjrOyn6YipovUlAYC5CERcQkJ+OnIWBvHe9EW0c5IS
fvsFh+/fDqV/8RIOp22oWKyRKkKKz8vQWPhDHdHcPcf1axtfjsVt5hz/vUd926PmSfjv9yjgji9/
3qbmx/3Ypuh6GCpkMYTl4h8Tln9uU+ofhmMa37eveYzyoekB0FgjvuIfmVtcFz+sXhaKdIMtDQ2i
ENbcKvkxhvqHfuD7ZOzXegLijX/epRgBIiugKwPRfL5CPl8eUaXEujXpwTlVwe9cBFinngdNDeyd
ifPIv8yplPdTW8pnGYieAaGSwZzqB6V/qiarvncCkd84TmhOS4JC+3xtZFbzUButxvmBJsRKBrio
RKjcDzqLDxADsUx0+PD6IHGGZpvW185tJ2/9ZHzp/elFD+joMWyXtZ2uyFfa6AnBBfrIuV2L5Wro
PPJCqz2Tbuj1NTwnxGE1lu7xJS7ps5c9gCmEUzWjbdxjIxKgJQiYdZLhrlZm6KvZOjvhV9DUe29b
pPJadOZ1GkrNjQ2UOt5wgmDpu07HvpSVN4WhP5PHYEB+Za8AM9ouEMITJR066RJdIWodYeJBsY6d
XT/qKdGEMkuOeLQPbQAKsvR02xU1xhVR4XdP+wJi5BRfd2VxV4qpuDAqDFoEWWh4bDjjVrhZIRfO
lKkEfEBjIC4cMPAfMyTYk1U8YkZnnKCphduq1ftUVyNDnQECfN1ukzraYPHdapyyYFpGHGScpRAg
52mirSlhMdpGfAdE5GCD72xzG2b8l+iGdpE5+X0WxF8op69sEbh0pt+0OLiVOWafponE0cNcBA3r
KizmCF3TCpYQ6TxM0vLoz8zoPBHXgZS3ogKSyZjoi8yzw4TsshhtZG+qzcklsyzcbnm0yP3hwGhj
2ag9OLI82yQhhm1dtLAZtA5CVXYfyRqVEbnea05cK1k0N4xmGLj1VAGBaq9FaXWndm7mWGNtN3DH
dk0s03vkkYNbxe3V1LGXmUYAXYY5RamAcozG9q4ao1ev69ETBPTGTUC2BP0+MO98tDx/qVOQAPFF
sjS/DbW7VkYywLzpnOBZp4mFlx/P95ifYHscEye+nEaJAZL+QRaDpa2IDFkIjrk7tRgPoHCQD5jR
MdeJVZmDTQLFflCgEi8aE5i/Fg3eUqnCddzHJ7NIz4ZTHYQjL7uaXkYzo9p8SwC9LZ9JsXUDU4eS
kjCAzK190cnzGPYG+z+liYMErispHr361o6sV6kMF5Vs33Uvva0ba6dZ8hh1sbZTAws8eOIAGc35
HVDTf0mYXp1JEAGXPiSgrTJ55sPLRdMHj2UFW1BT07PuaZfIPtalE7+CCVraUAKAFkDASo30smlz
m6MZZWfaZA+BZNTPtqkvFDVLDkrSFkszgCrqMaRmJJe+4E2IVxB+rrTae0yUfFxi0cFrggzMsadj
kjUXrRbTjRFPvUxfqCb3k8mL9kBMi9BNGCIGRXOuE3UjDDAcBZmgoZfAUwUQkwkbvASUWKHPiXwa
pEAz2DM1MQ6hVmVX9RB79X7otFngmHWLVDcmMuxKFKeR/dCmJDD4eapx9Eftty4TtdnQskLRluXE
Qg1CvxxGsUfXoJ0Cbqwlv7l5ziwqE7Mjc4tey/AwlZl/XWGDPEQCsG/DV7DqEyXZapDYgEVTQi98
6D5MPmQTbBvFwMWCwijB46JqayUi8OXf2/S3bXpWDPz1Nv09M2rxUr3+OjXq814NJhArA/4rJBEq
R7oPe7W0ODkCB4WlrgnOjT8mFOYfGrJUfAxydmCrAnnFj82aOGCJ7tompEBwIhX/Ur7bZ6nOHO82
h8uhugDqjNvWmA+cH6Q6RkAkRjOm4hRA/apPw/D04Wv5hbhQ/DmVygEUz/iDaYruEM8wT0g+vELr
1aLxzKE9tZO5Yh7+dSzEKfGia7NqvnJQA6JXhW4qDE6wSrbDzrytymjVWoRDSkXmm7w3NplVbZUa
iHobrEVdfFFwOCBxPjI3HPAYx/1iCpKz1mlmjAG7KY2zn9Y0m+amms+XyEJRpuPaANTNRqiau4Gj
BbNqFc5fGkjM2KEFWClMvuAeAP85aclK1OCoKtVXHiOSalwnFm9tgKi80cDICyzXBxCj2KA1+0yv
TyHmqnp0Ksx0dA+YIQvRX0ZDry0MPW/WWkWhMlbZgXPgMyKSI5JHVod0PPassNsky7fYpSe38spb
z0w2xhQi2PMNnGfZs6L2xJCK4WsaK2fwyvBkaEquW2G7zBRurAhYk0qMTek8x6qyzYp238CdgPA6
Xg0xOm0YLgt/qlzMZvvSsl48jVKAkQTGCsVt4/Clqb2UCYxYAGncEhV8ViYenvU09vSnOvZZ5yxy
Mc2jyErTrfTuImF1kxy3qwIAEkQJ8ITOfUSfl65qcll5HAHrKTg0ofqEYKBZjkq0F4q4xT2A620C
y2NM4iaEabwM6iFYtXa4GxMULWZkmmwgcqOWIaQaGT+3AkSsiq8XR8sCq023Zky+H0icckT3IHJj
SeT9SdbyqW6mcxxSMKSAyVsv3ViiuwC+uMvHnnTV6CHo6IekTr/FH3HE4nEjtZyRXJQ86Fl9r3kW
etN2nVdyb0/mWhmqZ2yFGBQbB9J4/ZTz4RllDBtlnL7EFKIEKy0rz3SNeDgWiLspMfxiIUZIG41d
A2e3KGWk9cxdwNAkevI9j3qVrslaaVsum/LrmEdbG7W0MIrnuS+tKOpNTSsaRX/k0sJZqmbyOsXe
VZySicMZ/kgGYAx8mia5UCzibHDxF/DV/NCHWZOmr44GrEfBDbiyJ8sEJAmrJISW7yqFBppP3kSO
eGyLGpW2Tu2QFPPdE/U3qhYdlJburV4iJDUhvcyY1evBph5ugesfsFODZZNGvXISGhk6USGrviac
odHlKjTlvcoQzHVKz36FedetAhqp9GULQoPAC3X0XtJRQXiDtjw8DVVIrClCUBepRgvtrPAh5pF5
FSV54AqmgAh0FHXVTKJeZI0XX+e21BsgruqhkIQQBKO+aMrq0CCMKERR77IWeQ4eISoLvay3UK2i
lR+2R+yoNMnjAgU9VklvmEiZG4BlIuMtVnlT5pgNw+RsJWpCbaDUVHh8Ys8r3sxpvK8848WKyy3r
20VEX3rpMHV1x0Q5euhqZvWNuYilOVD95OkNjS2orZrlJQ9tnF33XdVj9ZEI6KmPdchnkYDzq7Xg
T7MDYyQWRI03bfVXWQvxpuBAwhq190tvC6llJuZS1zdH2nBkRjGvSdSHmAOJ0ar73vGSTTbEzyLy
zEUdzqNPTx60Br+BJ0LrtehRakxTWaNVp/11G2spfanQ2BgWBwxjQucb2FOMMCOsLiY7Phl6sY2d
+korJfPSul4MaQtlsDddlrydzuELzLmsdsnY3Um47iS1L1sSLhK3rnAHjfBoHdacdt+rMn/ORKOw
/ipomUlEH1siCXk5lM8FfQPy9KoRkKDVbcHTdZsMsdWGpT948EpeQW+T2wzQBtG+qrNvxyraQ9E4
ZUjYlwmn4l1LMBQFvnULIBfBjogEcV56XTJr8Ly1GZe30htv7cycHicvCyn54BWYHAsXVj+smxEh
R6F22QajGdM5HrioOrN9rMLEXg/2CMsN4A75XyJotgI11CLui7VBre2Oaf4kuwLoBeofa1y1dX5W
R2sfl+OdGkSrLiSrIi+CuzbRb+22dPBoDR1d/ahycy8ZZzRSvyhU9cmA6e0agygfW1lobpFT6sGq
jK/JiaAj6RmP+gA60tPNATAhZ66oVcfV77fnnxo5s/bflhqlhmOZjCUkTe2Pm7OeptKw/Sg7NTHj
1QE9tOyv+qpe//5l9F+/Dn11c5ZB/7kIaCwonX6QnVJsQrXU71iVLunbPbNcVot+dPgBxmTbDQU9
vHhb68ERcxkHzOzASnU0YYJEHCEDr72WpboyAvoAgDoz33un54wgh1tATBgDVZ/Wyj/rul8UML98
5+g3oLTSvgcK+fkbMtM2Dxsnzk6gGxf+eKtGiObz782uv2zZfTPi/69MhHaJYzk0SzC28g2ZXOif
X4UUlIJM6rY7FTQpMWGInYEbfqF6JftG15kE1nSPoJDzqwxf18ggq7d7gKkjiBbPYLAbpetAmdqr
NjCcm4xdqc27E+qThLsEy4RJhtPCzP1TCAp88FBb9Tr3jUxpHI+OOV2bWvISNwmwEj/cTD2HqlrD
jUn3F5+A8aZU+hrbZ7tkVZKw5BxtmZfGJgqqmAwZNBBjILFz6e/g0l8Ga465ogk9WMnFOBFUaFmj
gqKljy7UoIDJPDAB9TVUfYEDME4L/Xuv1dLbsjfZPzTy/dLCXGPsa7ZSw7CQs8VpwEvGyIpXhaqf
0drgkJvgA2lGcvTUlxainGntWBefbCUh+aHXtmMknhIDfFxWZLh9gA4Y0A0mQekxcJu5lo/ydlDS
bdVgG0q1Yc/B/AVgY/BGHuFGlQjjrCS40POZSFuXa+xI6BaIvEulTHBjMgmV03CAzv49r+ovLwcU
l/zeP18P3JDYfr4Jmb9ZCj4UzZ6h5LgHTVKXNf3FIIvQnYouOUl62gvW02e/BpeW1cFSkwPplUm1
YEW94Fuhjx3gt6NXdQHqhiRS/cLM7UdDQNCrU7NE0KMy6DdxEfkhnfzO7mz8giLd6mzqbq+FpYuM
kHqEhUhN82xJeM+Nn4YQOIOanhJzesar5Txygv4/vVW5fHEImEJflFvLKtXvJFhUUROHbAAek0Rl
LivyMJDzyMfIlmTQ6l8IsSCbqGcZgCEvs+HWc6KjBbK+JARIYv+ZhgL2pX4DevcijoIbYtmvSTfa
yLF5ZKohFtSN6kqWLbVg2UERQFNqz6AGA/cnMdHsHFJ5UbgmloVjPGmG8qgF0KNK0GarwAL1M9EY
UoZ8pYlqo6rRzmGmTaMf12Pnihjtn233B4txSq91Nds8VsikuTWIqnaI66jz8cXoYZIb1UtmIToY
eZ+4NmPoL2BZjlYm130u3MAKkaZkzHWc8CoulHg32tMqr8eVTFAZFRQ0ufQ5l3AzdopzhbHzKxia
WYyA3LKNSKNpibKF0qT7hA5p8igJQwwNxn22BnBC+BPZsVSocRscFc1bxVqPcbqZ5UGXM77RD5g+
xMohZRdntrW1teSpK+g/ANykZSlcDT4wnY9+3bC9g9KhA6iUkZsQjB319mGK0Ao4YYFi1e+XNWwg
RF7aOkK8bvb2pWdrWz/DjNqXx8w2qXqbRDknRc+kJLH2wu8PjFpKukIWv01Ba65Xo21Q9BdKzSkh
gSNopKscdh1M00tpriz0Jr19AlcnSQFAimx1D4WKHCZVLyRygNXgiSPOVLwywO4Ord5Zy9rUtKUV
YZHsu8ktqBu2+UgM8CitLbMmBVYezUpGl1ifKu1vtra/uVONn3rdeuCMkVPE7Umy73f1RZoNy4Hg
Tq8/x9WFxonl9/sRB//frQzzrPnTjh0EGacLVoY8fweL1A3XMMcy/xHZ9u9faEYp/OmVaDMLLEtI
GIU574wf1qC+Bk0UqR2ta1DYqyIc6mXo6bcmsKtdkCONiofuUBRgYnJN1S7sOfRCRrnCYWJSVz3P
S0dZ+SpU+4opsM3gs71Xwvycq9ZNQvnGqWfJNO5m8OvBzRp/nTbhcxaJByVIimu/RbdjBgFdMrM9
mEwsKSxWowaMixJvkzWG9eDozk0xIdggVKA1ml1o6IcJt7xZOOc+JtqWbRuhyyHWZ9CuMic9LZmG
PqRFtQoTb9cXuJwTUI2Mb1EposRJev+pHJzqQfcJA9Brw/+bb/Vzv+X7Rv/xS/1pOBdLgU+dwJ+T
PTwH0+tof8cj/uXW8XfPP1+uH340VUmokfE9nkL7BhjaojTu/uay+P1V8U3w+uEFUpnGaqz748nU
L0PmC3xNajB+Fzz/5aeYv4Wftz+JGRUJrtRmL9HnTzFYNQJLwadwSPxq3po+pSa5Cwfrb34N/fM1
/q39BeHj/7F3Hs1xY+m2/S9vjg54M3iTRALpHY1oJgiKIuG9x6+/C6quaipLl4yKO+1JV3RI4mEm
Do75vr3XBo4/218NTqa/DjQiZKQ/VMhHjjGvbGrLu8T1loLTLUL7YZEtHja63e2/34R28G1wXhJn
/M4bXa+VzeffqvyrsOOPefFxw786AFpdaBUWydzHxu2WsDuc4bZdkTLhWo5lJ5UrrfieXXLGF+Ii
cCzsEI56zF4//y203/0WH2fnvPh8eLiJVyemDM3s+DhsZAfbuWudjcWpxvayXD1o9l5fpivrGLjD
GtPu+s5b+qthzbq3mFbEgaBoXMRLayns23W2qk8Bdv+Fv/yWL9qjaI8rbWNt8l2/ru5T9/bzX32O
qvzNlPnPanX1BQpyHQIOD5mXi3xRuPVb4RZ30rK0AU4sybpxoFBs89X5de+0G9Cvgx1tMT1soyPp
LbbnQDP54dnfPv+t5h7tZ7+VfrU7hJgBKhR54zHYWIvAntaQUe4y+lY4IRb6wluQ0rNIVpBT1/Iz
hTTn8/Hn6fvZe3S12rDUCGNdjMNRnHLH6PvdJMTHrgVJ+/k486ry2ThXq44JLxkSbjIeOVPTAn0V
h3Wvfx8V3NMNpSj389F+/6j/Wh2uK8pCyuKvlVF7DABojd5N4V/+bwNc3fmUAaqlnnKBItJRjqgD
Wsby8xG+eDDG/CJ+eNGEtDAzY+RFy4tjTXu3kB+n1vziqXz1PV0tbrVE57YzouY4zE8FtZU1RPb/
7XNcTbA2n+oWH8x47EH0h/oxjQcEs+fPB/lidhlXq5Lu+cJIcY7dgNgC1cqcOGlOitLadGgJwpKP
HY3Vz4f87fPRfhpcsY9Yc/vl4/PBNKJ4Rdi0RzV9ryI3VgKKfKvPx/jt4/kwxtVLQyBXLZSBOhy1
iBBK8ZKmX1QVvhrgaklE3TwoUV52R5FFm2J0jN3784/wc3/87MW/msdBSNPHS5jH3A0WYD633To+
cEWwt0C3Hf/Ufulfv0q7+/ME9dfbr8+f+sOrI1H/kxo5YI96pDCcsaqSCb8ASfgi7adNtzhPBDWx
dWsOjoaFeREWN40z7+rnp/KsbLm1QyJ1xmaxzuxg9ZW9/rcb+cejy/XMCatelDxeOuk0b+TCol4l
6iaT7EW8UpcP2WKLE2D3Ln7nclbdjzvEcV+sXvK8PH32UK6eeyfUelBaI2eJJZ6KJTFXsr6wdsny
BjDvXlm1yyfCSxcZFVsXv+rKtIUvVuivfgXjat+Dp0VGQF80R2GXLwaoG4voB0lbS2PXvg3rwkn3
xgrHyrv/pNjDKj5B6n/7fGr+vHh98i0YV/MkRmep1hlTs3IHl4TgRTif6jaxfddths0Gg+diOiJT
f4DRs0zdYmWc20W1bJ1g0y+C568QFD8vZn/7ff7zul+DF0zBojeUsaSUjrrSVyQqD+7kTvtwJy1e
/Y3nxra5KdYU9fYkgtw7JqcDMl1XsXsbLudDwr8PB/91Fc6z8a8S78xR+DcDYQY1/P//d3irXt9+
/EZfx7/6U18H3ECcoecaZChWGoM/+qtnL/0L976uWjTnpTm+6z89e4CGaOGwExJ9DuN81pX/2bPH
VYgo00ATpyC0YUP5JwI7GkS/vOFcW+jX6zIJhOg7ZQ7sV6+XIsi91JRxfJJErLhb4OOFSFBuqgo4
hfDRO6mO5Mtuy6i8SHNyCRhAqBxr5r3oRatstpP1JOk05rdgpNRWhN2dpKgVyGm6b4/e7DDRG0Ic
Rw7cdvrTfjI3COCorgtZAwqESSWPx9MgEHSNAODFM2QO1VW8KzC2ZPoA3AarCxFiq2L2vrTm8A0b
4A8dU0yh5PwAZSrW/qAhlDbztVpblwYrTZdXM0UgRSUk4bMp+ia+97DeCKqCgkscQZgN0snEntOn
sKvpO4trf/buDJW57nQwsGlMzIkuP6mzz6fPx9bpZu9PzjbooM+N1gUhz45VGSY1KQ8rTxk8tnHZ
LDOtiFd+jEBmmqUyyiyaaX/qZ/pZSoNcAFVN+VNhI89im2GW3QSBCP1gluLUsyiHEFb/xpiFOvos
2cln8U49y3jCWdDjS0h7RjQ+5Sz2CWbZTzYLgPQSmg6hQLUb/NQHdbNUSEYz5M3iIUzULOEBmq1x
lhYhv0ZlFM2CI2+WHplFNbe+rBGmN+LEMtyqBuT4DXZzIXblPiaQ1Yil71KpqMuWGohRRtEh6IhT
9kzMoZSAAyIhFxQSXVFLLyrRiL09jDlo6Sp+w4n6gGl/n4tYFFOjXyU4kGxD0w6VJRxqaHzY5sOl
ViQkSmTbQq6eZCHeRz0QglJO7xQ/6J1mJvtj9JF940gSHZ6qoDFifJsj4UiK0inEfGpBNB0kDS68
GPdOXET4bdTO2xDnvGnTuWnuYXwb0NM56eS/TkMfovviElVYJNLlswhOA6Vgk2z7SuuhmhV4MYli
lAGVYHBaqSH5BJ7D0AyIPcAbILGPMP/TVSB56djofbo0RQ0TF7VuzDk+Jjz+ZjSL6yTLMcYisGNx
du5qFgv1pHarMQjZ4QeRFJ8eEEKF43EsAAOKYrPTwwHWvIZDLEzI8hJT+VkfED54Y37bG2AerJGA
Fy+rDVj3GJ/wuS1Q73KFNoy31PN/JDkaU94u0og4qkRCdG6RYzAHZEcS8SS09UjdVIIinuW9heNf
XpBN6C8zsWrI34X2gAbAzyf8d5GRx1uiwvK7n8vmf/cPmZrqZ/tH9iN/DbP8N1sI//CvLUSGVCvR
wUHZxaycLeZ/bSHq7FmHs0HdCQH9hy1EZd9BTo+3B+cA0q758PvnFmL+i14Q9BwDM8Q/guNo+tWF
CoeABoMHYzqVNRqP18Q3g1hkE8K2cJKYYMA1sCCr05vXw6mItYTQMEV0gVK61einyUoMi+rGqlLh
IhudoODCyDPjxsfcai4sglOXpBpVD3hZjfGVhDViyALERLJMAmtUzqmsMswafybmQ+hQV6B5KtZr
0luHJhycrhAst5Lkx6yIxVe/JO21lGkD5wEJsJA/mkU3p8I2OX9XMUqV9B65ei5+psfOObJT0Gnb
PjO2UVQpix4euBZgV6qJn23l9ns6INLo5mRavCjQt2efCaG145xemxqagza0O5pzsm1aRb5jzWm3
1UjUMogHBY8nOLPc9BfKaMWOiUZ7Ic+JuRN8SLmhhR3VRP9kY0NTxSRhV5IeQhW9BWvvMSz9ALCG
dYkmMCUEeB1GEdW6iSq2x5tfh9BjTNRIakOGiTmn+xpzzm9j9OE2M1CRaHMKMO5a0am1ORq4QiuO
lpa84K4A+MpjEU7kIo0kXFhs5cigmpDNRSVxOO7y4TKh2CUiUI0vA8HESBKCtTVnFXtoTEckblPo
omQhM5ukjoTk7znguJqjjoGFYAoDn2QuMVSThRwRswgXPSu8W9bWYtVFUSE6TOxsk1Vdh46VlGJP
F8xDqPY1m5TlEaDBP84OUtl6F6kNnpIAWVeQ6S9+Rbe1r1kaMc49xVLjO15TvKMwT0nn8PeJF6QL
MxpPCWZskpvS9wBOCnS85oROcbRTtJYs82ZsW4RoAlrXN1VXGlvCEyS7i8bbIJpvPGm6UgP+x6pw
Aw8axRV17Ak6RVvR8ws0PyNQq66X1UM3pxSNikE2NSD1s6bVuGwrXMwiEhhNsWUEcMsiSpp9VVog
CZhoJ2jiuluVWrnTVTZyIUenWM1HKnNqV0qQPM/GJKQ4EsK3od72Q6osks4ndEP1zCOp666QWj9k
od7rUXrJ2/beE5RDXRg0ZmWhOI6UMjeyzvrOIr4WNPr0KfsJ8gPPc0zzrRGGXZjAwVSN/Rjk7FBR
sCoH+oqctvjMJ3PMaKMj6uyEnSaF+zTApxq2mnfITKznqV4obhv4t5z//E0ZJBswKeu45CGZATLw
PoQFGaFew7/+4rc9b6AenoYu77D0ocMWmi61TaukAZ1srEZzzKp6SSsI7kBiiUR+142QpSV1MXS4
RUxQRocPypdx9GGOCopoY3TqzuoHm5MsuMcGHCJW3nszEU/o9e/1TjSZpFauQ86w9K1nTu9FKd0A
gNoYrblU0tTRm0GxxWDY0V62UUm8BLqygovk1D4ivEgzzzUaLDOXf1gx73CaKG+NNd6opF8u07I4
jOXkCrFqFzxjOJ6hrQI/BVhqd5OILs5LX6dxvOvn+SjF0QaN03nKh1Nq0hKNuLEN+dpIc/J4GJ5U
rAutv+NYjrYM2jbz2qVgoj2fhBU+gbUBOzItorVeD66gzUhYOXzVTQQVwKoEssdjAjbHIj9lhQie
ScxXFDkAcLb+WW6Iwu789UB8UJoLe7AV7piE2IrJeaXeVvKKkE5h09tcYkS1vSZ5q5K3HK3MAC87
MsX1KGI067NHDXBBPSlLSWUMDH2qJ58oZtzWje7iWMFzPdyog3WXRBPq1IQo7Lwn8UhFaelZzEBP
gN8vuqaVvo/g91jhXLgedh2YS90kpN2vgw0OwzXazEdRalDXm7e6XjyaQX3jd2Dw0h8ZELtSFIFb
D4ixlNANdar13riMfdUJyNLzleCCauOQd8oNPoN3SWgWciXO8W6zbGotWN3arAVXDJLbSMv3jSbd
42rhvgGmSNeKWSqzq8XW5VU81pbpSkq9VbyRAUsH1STt2axe5iUKUbxLr32bP/KjAJl42E9rtaCT
DDDKCHp7zEjzzWpsksKOoMnNJBiQyWlkd1WM2oZNIii80gZegt1RN1Zy0z2gmHtuSqKcCmMDg4ZQ
BtWz86Za0x3fiEOKgkKzQPl2j30lPuRVdANoDV/+gNGg5buzHGoEa6PRmJ3GCozmJcuTXQGarBPa
2yQ01ubgnUB7bZDMbTtPOgQ52sKsDd00Gc+FN1vc0Zf15iWqCKOShqeCUsNY4RqVLfPeq/RLXdWn
rNZu2oErjSnVt+2cAkrs3qKCs5RpyT7R/C1eSnHRQ1yp5oVqyh/HuNnJlbYqOAq3+GcjhaJfPx96
Moz32X1VjFtJzncCsYYnwcMZSshIclsTumBPcrOtRBH5SI9bNWbjiQhT1O+jJkVZCEOYS2TzpEIo
l2e4V+47cSj90FMcmU35GFfBRpSlE+st4Raz+pVcHW0KeS8TI7YnUXoKtLpwLSW+S6smwWwcr2JF
OkcxGtDYws2KiNyF87/2Yt3uZSF1QgTOHXh9w+99WxrlZZyALA6y8+Drq8gbtgMZnoUAjr2OXppK
46IBKwMjDNSSznDa1neqQMhsYCEY+1s7TdgkBitbd4L5A8WWW4fiyu8MNxQHB6cp60/NrdofJndI
sx05pbuq0e6g4bDXgFXL0CA2ZHUJQS9sM1llrtPY5m5XSfkmEZrDhDuurorX1pzp0qQOeclw6FRs
tqnI9vfhSHv+oyz1uYdUo50uA05E+GZZ1wWGpq+qCkSkcBJT0CzxIo9vBBAHnw8yl0I/VMR+HkPn
Bq8kKsjKlZ9Vjg+VXKhCoq6pknAaEAyDN2mfhvzdV5YpWSmfj/S7A+/Hka6KsrlHYujkMZJsHgMV
p4whOdO0yfVvUfsc5vo/64r88cF4myiO4AOiQvNriVqG1mJ6Se6fO+G5aXel/5olr//8E3Fa5rDM
MAqgy1+H8FBQiRaX0jPhnFG/aiGwJQG2b38V4oiXmz8yoP7XhvxVP2T+RCSfc2nBU4yhU7+q88+E
H3kUm/AcZsCEFcJX/FURf/GZ5ors1Xz4ZZCrim3tCY2mewwSYaRsqn1kBcvPv7WvPsb85x9mXNdM
uN9gqZ4hGunAw2OijqEjfT7IXF7/7GNcPZoiHuOiS+vwPAjKAvi6FZ5VnAyW8aTh66xPMuG0n4/4
u48FWUskQEdH3nHNw41DEyRsJIVno7yUIjLyZGN47/98DOSv5EgiUyXq6uqrIzpY0M2uis6oDikv
Lg2MG31y//kgv/vqFAOIhqpIioFd6Nfnk/eBYYThEPF8njJ9H3BThMC3sLzbqN2pHU0e74tmyTyn
rh/WxxGvHhaYcWIJpBGCGACDrn4gJvOLxeCqRwaAliwag6QvUjlVnff1avGpc5VAqUFKz9EersaG
zfOAINfRLsGNZmdO6H7df/ndhPj4qa6GhA2XDk3RRedOh0NOKUgG8Cjn68+f1u+/O2TLIjunpl8L
xPSJ+ngDbP3slZYtA4symy++u/nbv346kP2YbYSGzvGhv86HopZD+HkUvwyuvqMpc9p8DlV02FH0
xWf53Tf2caSrBY4bcV7hZo3OkvYWmBfNuy2nL5a33w+h6TQGyDUi5u3XDxNKcWeqkx+fs+ykQScd
QhlIqP7FVve7V4jJ9tcoV48ed0jQjD6jhPFrIpC3IDiViiOitePmLMSrRPviGf3tY5EtZxgwJ+AH
wLqZfZMf11TZ8owiNfLk3HSrsnrudaecbv7hRLsaglraxyGyzucLDcrk3BOzLQk+dVnti6/tb3P5
5xAzDVLkwEOd7dchomFIhYSb1rlOXoVpgz/8iwH+NpUZAPCCxntC4Q38+q8DsHSiSc/QRnDOS1uQ
jtEmJDEos95+flf/rcqqvJL/e1X2Nnipm5e/l2Tnf/VXSVb6FxconQMZME7wJTyiv0qywJ3wXlg8
IB7TnLv4pxP3j7RGjT6gbiJVlUV+4L9LslRrZQ5f/3bo/lNmuXbVsaarB3uDn8IyM5dnTUv+dYoQ
HyZiOWeai6CVaGCgtJfU/ltn6CS6lsKpmPfDGmMo5DmYDiMxoiPce3OC6twNJk6Y8EDb8k6Ns8TO
pNJcjgp3n9qfqGEqazNpXb3xnHSQ1n3Pf0kXXhCPsuQm8FRrsAexPC1AQzj1UL4ERnQYm/aN27DT
Q8GmNIfLQyoOdK9edZW7zWiF2CJyrixh2q6jolqTdb+rqaLm4J4nmahU7vGACrq9Luf3Rt8dexnj
zlip4SqY5JekEl1ZFB8DkeuS4cH2KDDprio8KLB0TGxder0Fmd65plfsGllYWwrXuSC69TpuTIOi
4A0phktG42NRA8vE1C+uSdcQdxwu8L6ZPabHTMoWQmqcLCX5QW5hsRplvBMhQfELAJF3VZK/JwXk
IjHruW3W0SEmLmkZ+uSvZV2R2EFhaLYx5COafNOJhXEbaE229Dn8NFolbNMyW9LDvATEtC4y09pK
2AcXeDcOFJzB2bXUBYZLiBOO3BEah2PaAxE2qWsARhLk7ELjLF2opvUURdINcj0BkgZWijZRUnvU
lbspDZ/irFz2CTXE0CQNSAnDPSfpXVSK73U96WsMvkSGhe3oBLWOKcZTLm0TPAQRv79Pki5cexJ3
9EJdtzrQoyJTVCetQdxHMWx26uxARDij0sBqJPLIQsYRhxptHdE7eUZDeExvhop7fE7k5GJS2pXv
o70rM0p3Df6hZR/x7xIFkK2UxuoqzdsTgWYPmuTx3GtCeKWhpAtWPEFh3cMM21ehFW4EvNO2puMD
UmWcKxbJdHYqKPS7GrKflPyYBdYe64fBBRi8sl+HR0roT3S1QwAKtC7bkJArNbP1nl8U8T8q3qRb
l5J4luWaul6frmPJ21V+u6mz4r4VulVeZ5RMclfVqVdxbgbzUnfgcvUe9EuCU9EUu8epDN/qDtJ/
NKwo1o9graCTZPps9eNTjcY5L3ua0VZ3a8aJ24jbEi1Jd/CE0B1FC6txdpK07Cx3+Di16SS0OgD8
sYM70yg/0VhtHkxLecIUqUcJXPc09KARBt6iJEY7z/ihiPxJN9LxWPZqS8FS7N5JL43BsirYRov5
VYW+NEC47im3GtHQYjIsI3uO5FtJmbYJJNzKk6em1UIeFXCsmYVxWRh8EJkKRSlKXK4lmIpb0Tz0
h6DZ5l4cAS9Xf7Rag6EKbkuudI/l1L5ORh9hW8FZ5Sv9mXxVCFahDhq80RvkeHKHw77N5Gon+0mz
Y+0pl5FZEAAwlNDiMxCSWpZGuqu0eHfvSZYmxzVQKyJdVbDxuEcyUHHGQOar+TP/1cwEKMNlB7Rg
TWzEiAVboeBzFLJ0bG//yJbtrUpQdu3QIinWsiR4rCZV7k7kCq1zH9xXERF9l6ux6oahBpFUnF6k
yr+pPYXWbDxsVTVr3UqowPUL+k6jK7tEd0GDKdFfyzyvKevo7NWR+hhz9bEDGsYwSyZ9q+RM5jij
DMxfR82l5c+Fp74EUSUvGxMzPt7ad4i6+HSDXFwghKJbI3ZznQdaASXbw0gFfggthIWFcFCz6iJ4
7S418+cu7N8nAUP7ANK8lgh28wvkFrUybAN8DWJPzrNRvIRxfqOTDUsbQ4P7qUtItRsc3HJ09Gpr
L0Qj/Rb5fZJEfoqvvcddCjM9XArTVh6HaKlqleP51U08sPSIARl/4H6TXRIYBzFOsGQP+cxN2gSK
UtGFRnZJJCB6Czk96kaM8V+zfEeEPi2zYy57Q5uW4dAesFDsLA34DN9CQfRPSbx4DueETj5ru1os
cRIZzoTTc5F5wl0TLyfNf5ArOuQmLmZiMBCZmLHVMzgQHSu21sqE1XAaaPQpEAmxBg35KR0KmmV5
vy/MBo+oCRjOl4wTBe4DcKgUi4d3sjK6cGm99tvmRbf60SFh93ZMhNKZ0hkNa7GBaBFdl5bbeNtn
D3mSbyMh5ndsp0dsu3AmWqgvcTPlC02UBbvKm7fasu5ZoF2xSPZxGlCY9pU1Gsv7soOcGhqDjUd+
U/bKuTOLG0vLv4dsdAvJEI8qqgAMpp7dZapH4ohU2ZpYbXww0Ky6RAnKGne0II43ljZilvEzOzLl
clVrYW/TVIRr0J5hhbiZ3HzrUrIJ4hK5Q0t7c2zVwYnFtHNEySwBVXiI63z+1OiifKlDrssEisy6
DICr4QulXp+cxKKOFqbRbNuMuPlSt7ZGPdzDoRAdkASHmCULkvXkr4Re2iWZpdtjDx664k3bwQI/
6xIEJ6EuqFpmIuoimfRgLFlQcZTSA/KrYC4Lz+Q9fhMgrbrklGTY7D0WOK1fT6nMK0GDRq5wbBFJ
RgRBPrxmuf+AsvtUZ8YrPk3ypUW3qPXHPPbB5xX6slHCjZcWj2JurhW1uu1NeYfjz1YILLTFJKA+
3b/MPevWkN+seNr6bXiZJIMIgka8zdR5ERc0Ujuq4I9b0H+P3bOV+38/dh/yrHkjV/PvB+/53/11
8OagPFvMidimVjATa/5z8Jb+BeSGW5euk9XzMxDoTwSOTsAQvFyu/RSh+Wl/CiG0f0FnBaVD9VPW
uej+IzGEceV54dSN750zPAA8cIaI3K4uzGmRqFSHTbTrytS5heipSxxqTwYSoNxoHyAI38fTxZs3
71Jy5NLkaOXfe8kU2/SMFda1mKiM8QAJyxdelT6+T/Hu40mrohXAl+96g4YBbOSmSKO16GeAR9sc
eUXlsaUgcwIO+ixw0vwuNaxZipf0TgRZA0x9BI260tcs1Nusp7gbKcFDSscrG62nia5YUpgVQUDl
yxjFFytQXipdehw6DlF0Rg/gg3N7DGLgUmW0a1ukBhqehodRNJ9DAMm7rMAvKvWavhSL6D5uk2dx
NKaNmtLaJBUcdcK0nkr5uavTo5VhVNGNW/JtYsx9pUUKnRb1920QPpmhsO7F/KGuBH9ryMXSqlU7
zbqjFCGtRbY/jOFxRrCVI25xLwx+5EC2yG6BXK73R2umjeWhvFFzF70IiBNaqvLtHCpH57iJn0qZ
gzW/4mo+6iIM7JaJSr+PwzeSrEimp6V6i1yraxSA1uwjxZfuCXsMHP06b4yObLnW6fOIzjP2WZH+
uKoH4HGTZF3myY+KjsuykWuEXpW4qvQpsLWuPY+mtRYj+qYiaTirIKN3HCKvSDLGS9iRNW5VllF9
Jw8kJE2TYqU5LXN6RQShcLBsyRJoQpyw1jEt1KUeEX0OaB3aT0AAqLFky8Qsq9KJTkQN7PTMMfPp
LnOU7aRFEhN1mRg1jsuwSe3QKJhsoYVsIQUb3hgvKBbYOiCetjWNX8ixs97m0huAOwyJKnOpvI6z
71Yto5tMSiOM9tVKKJR7DShSmSaVQ33K3JeCtEnM/FBEwzNg329BXX8vShN6aT96y0nXiTSIWnRy
FUDuOGo23djky66MHzh5z0hxw7LDIL3AeFLsuBvWqdTkLgwkLgmj3i/ifKPIOKDBA77zPHZ5UZzU
KoBmKK4gDtASp7dedKhZxkS5jUAdwXXaNVJ/yCcZfXaTbcHj7/Ghb+SUXN4EyhGG9e9R7W+swCfi
QeYAbdZ3fR3eFq1wTy9nI2b5tiVXMNf1TSz6J2hxz1md3OtxyZc69XtVqXZKmx/aDsIuDeFLknar
weNOxTk7m/p1YeUbaa6ajeqaHvfWV9EDVKOyK5J+19fiWQzUxG0BKnl+89gbAXwZdXLDqjkVLWdk
mAdb8rButLDYxWG3xsnY8gnTligxwlTF6uAXBp3+DhXQCB/Pl2/rvH7ws3LnDdGhDTCO++NNBu4F
00bwECcBe1b44MfGSvNzrrihuQH4v9K7PmB2NAclIysIkBj6TX+DHu2SCh3kIbEkjqvakCD2SL5Q
Yptikiwtub0BmLRv56wkknqJRZvSR8Ska6Pt7GJslvIwCXaLeoeAr+fJtFa9gIrT6t0k7J4y+Lu1
Jr5PNa6iEAXnBGwvFKl/L4yJ8/mNTOCdnZh9QhBRrrH2cVHfkipBprSe7Cy/3atWvBmaFmsYl9gg
CE5ql+w8f+wXdH4PPVcWJ7Sy713YEM1YJXAsrFWZW8eKfF1ofYOblqIEcUj6FkrtfpDUByUWoC1H
t9P8CBVT+15IA2+j78Dl3Um+8DCI3Ukh4kyMgdXrBskSY/8iC6Cqw8JH+VEWsAF4FpWkuVkLA6M0
0+dCUQ6jlTY0Zqt1nEerOCt6grGkb8g5tmXdLYIAVXQtXDpQn7as3uF/Izp0+h4lxu2ECHOfaWWx
EX1Maml2EGZutleCFpu0Z6nQV4bsLVQFaGTUECvdV4O8njPGZNl/i0ciWmiyiLvRGPeSBMZfkqBi
cDlfGaVWgVwOCoCnaEx0X1zXaftY9+FtmU37sfXvvKpeZ8Lkk5FrfoNVs+Iz3/lj8tCUAf4H9RzP
qCWxs+VI5w4P0kpT81Pf+HehOBESpndrgZTTZjI3Va1fpkRaV77FVyOdhLLCdYOao2vl2xihKsdO
yhNmNYuNpf5SKPqhxkCnO0hf5cRp+zL8pqVhw+KvGzs5I1wrNZOZ3KAv0hJlWWgCFIonrvrGuNAr
PhLC3HU1jCvDzyw4MZqJ+qnLnEkICSTuoIT5HQzMrk2/d5zmiUyLOK5PCMzA3C4LQEsDQjctb9Ze
QH7CMN+6887qtri9U5id43tWEavGW7yIR7JllaiSFmh2TUdLkocuJz1NHPU5jwvmI9wLQ+AeqBNv
mvp79ErFKSul5jGSDM7A2lQJbmv22qXuM4IBzQnhYJ+oJPIgyJcQseNQnyRhjzZxS2rxWTZjVx0i
x5Cnb2np3fhArNpSpmakZLacmGAYpPLR67VoFic4lQSJqYsHrsrQLZWm+d5FrS3F5pPqKYeuRygH
u5IYbwgOJFop9R0qmXFpGsELK+s3UanWKDtPoja8eZGyAxyH1Jg0OyZSbteC8lhM2s4I04MXJoqt
GykELgQaBeqSli26GlFb6ZV3ikQNKkR+09SEzqFs3xS+vteGcC1VBKbHxQasGogZMV6GBvB0PVIu
Vp/eNhTTunwcl2mW3WWk4FLhiXdi2G9EUThYqmRzFFrJQ7lpPCBrcbDxjXIH1u5BVxUuHtK2Uthp
FZPE9+LViyYniv3L4HFSGBH7TF7gVCBttbJ5S6kWCRkhfky6YWh3rZW8kvVEbdDKNrkY3lTUJHWZ
3DM1GhdKSu7HIN7Wc0JZww3JHlEkjYbPBbV3vQ4SzcxJb63abSJpnbbyI/0bO4mkwSWQz1ZwAXC0
KCHSJSWre/yYYEkkOsNf9LgYrJgWT+snBEtH3yzLWynmdBY7uAdxI92NPRaDqHjIJQBoSkqctNCF
P7wq7+whIlmxCZQjdMKj5yvPg9iAV4sKkCzGKqJsZoWi5fq+t+vi6a0YtWNTgCtkfW8otDJZ/LzX
uCkb2JjGQnK8UTdPuZRvM7V1iG3X4eiLl0QV9mTKzdEmilvXqDw9LQAXXKP4CEb9SeuRUlqsNAhj
hv0wmOjZ+vyBoMFLIehPshx5bhGWj9RuCbPQWzeuO6rONZ/a9KS1NS89Jao74D3B2q+SyMZgcSgQ
Psa+QEWMWlEh+eVSRhG3LKv0HXcDqXAj1VSV/4c3dil1kGfCoVglU7rpDeRwFKT3UzXv2pr6OMxI
oAip/rIaEKeVo3qU4vAI9NaGBxZsjGCq9wWCJ6pQCkCHxN/2lXex6uQJEau6nl93nVADhK3s5jTO
lCczAAdcqBepH8K9pWRcTYuNX4h3MqkwU66JqOiofYr5UkzjfemLXDTVCixx+k4JGNaSIoNIM+/i
Jt+GZO3EHfiApB+cWm4eR6m8sQZqIllhHCPJP6awlBNDHXdQ57+VifWkDsoNopJ8pylR5rRw9F25
UZ+m1NpYoDRswP7ZKuv4wUIpubkUAmTO1G5NBRHFMwJqMqbUVFRuBymSuUZUlaA6ZjKqcmTHii44
shR60z/3AFs6CFMDyAd3KRqbV22LUBQHWc7CU1TQz8oO9TQsLPX2w7Xy/EfP96Mg6ap9BiBrHkSX
SFijHcFV8tdBYm+oFKGuQwqwGyE7iALFB/Wu6e8+H+aqDfjHMMaMQKAbM+e1/TqMJ/4Pe2fS3Da2
Zeu/UlFzONAcdBHv1oAk2EiiqNaWPEHIatD3PX59fUdO5ZVkpfyyXg3eIAc34qZtESIJnHP23mt9
S3WpAlQO7vrTUFwrxm90VR+8PjRUkPmQ8/m43n9WjTtZRWFl6SEfuNG2js9I68/q+4OP6aPXZ8rI
J8QHJe0Cb3//wM79mQ5KdnCoO8wz8w8q/1/qgOSU8tVA/pfP5913LaxECwkjjQ5E+ijZMgFNDTcV
0tdjGq8+fysfXArwDEHgDuIw6HTvvorUCdR5mIvkADAIkVurLiCHBWLJNgx75vNryV/73dt687XQ
bXg9YFa1KGPKlqaH0lgSnWVSd7Ur1tSpX39+oY/e1Ovv/92byu3YRRv280LgDXMiM8M1+4jcisvf
3Gvyl37/plwprnPYHQ39mX3ySuxkmLlesPHmh8ZY++ldP3qmf//52/nodnt1ife329yYnJUwbR1y
5y72b4XyP7idZcyNDVBO17Bjvv1e4iplEMGM7BCzAhpE1U3/g8ULP40K+NjgsSGf/e0VciXnfG9p
xWG27wb7tEPjqba/Wbs++tK5iXHFCRlUKa1Ar+8uovXKHOxXdkA2jIHBwYxsnvcg2wjMNX5zJ39w
LUflbeiazSSZ/tPba4W+Q5MtNvNDKGtqL5IOCo/+Z8EZ6+L5y/+n5Smn/38uur/4hw8Q3YLHDxqe
/NRLw1MjzJxYehXL7/twdM35AujbhPhtOdwQkrj50vA0vtDStEwkBY5DO1ICuV56nsYXg+xQ/sfL
migw9b/jH6apyV3w76WBbYfbndd32c50pHbOuzuyskinGWzVx8WpMT+a08RdaiToHStjpR7ndsOw
SlGnDrZseERW9q0TkBdd2vG90ZsaB0FzsLdWSN/EqwzgeWpZld4I4JikAyssvhKfQYgw7rcGzByH
UKwkkUVqdAkuj+jn6LHtVL9e67kZstj2BSFFmGHpfazDLoqJok4bXWKPBCmEdYz9Y7IVl3nQtGjk
eHORRCVD7RgiJU6y+klxgpHIKACdZuRTlOvuA2A6SsmJHGbFiN011hvKgCnAaVIjbaeKLefimDbG
fp6Hc82YwY26Uix1Iop0B7VtN3JSYjbNgJbazVwWTd+t9EaEJ6UATV0qZzF0tIvSd47bMoyXVuDk
S4geRMk1Rb3UlSHxJiuOF3WpxCu76g5j2xyUBNjYQDtpMVEZzkUxeGFgW+4itVpCgSJjqp8So72M
UvVStbQMqmLa5mdKlcx7QyT0Pco1c5DwhgDUpd06Sx9uNyJwwhuMInyyG9KV9JISRi9AUbvdyp2M
7FKxzGFdOlRMNojOVV2TMlvxdkusfjhkwQUTI73StTw89AH5JVEZA2Q2qXtGhTkj7HGXhIxGnSBo
uhCBS12jL6nsyb1c9xYg9qkrxXXjgncIqQ3rCYiuCkeUBjXDONpkWKrt8tb0O8lmVihfFjmAymUD
13fz6lE8+3kLvz4m/rLn8cBJLSIoe1Z1Tg9vl79YDQcVhHF8qgMaXRvpoN+FE5/TQHDDH6Lyf9Y/
ia746/XvIuofqagfPlgC5Q/+uQSKL3K3g5WgonqV85sXrRWLowW9AIQB6w/iUc5ALysgxliICixz
ABSEXKFer4Bos4AxcNv/4Yz9GxFFz0LitwsgTVCLkD9qCiLV3uvZQz2nbO0MfV8XVVXaJ0qKnYeA
YqE2GeNvEScHt9ONhF6hr9HmHLp5rU0Tc3aSAswDLrX00BWVQqrsqOxMMzf2HdKg1aA3+XFG1vPl
ZJDlCZG8PMmjtrhvg3Y40rMhuRTaQBpLETOqaEf7EVap2BbC8dcaicZgE7DMfg9VVm5aAkTA1gM8
eTfdJLo2rOY0N3+QP6M9KUY0X+iNFXX4j8A55BOoX9VxedSsajXqsc7UGlRxBCPrLMs6/0pHTn/R
lUoaXqqxmQRwaWytmndzGfq0ediTyPHU7DzQuSAkXNxlPTtZHa6mwQF3ivGrP69rzRkAPta6WPkz
Jr1T7F2xl5lRFV8r8QwBtOoT28Z5b1VAhmuDOFyzR7abdB0j4T5rvZnTy8qeidbBMOS0JbkPch9Q
+9o1j3u5RfjPu0UmNw71eQ9RKrmfTFFuGASzNfEO3LDtropZXCB+6+Hdym2pYH8C5R8elRYGqb3J
NGkHlTLqL+bY0dYTs+vZgHku7GGfuemUKz9Xn39WBHmA+OsVgTCU/1g81vld/fChLV7+9KtlQTOw
FwppWzHRKb9ZFxyU5MjzcPD+DEp5WRfML+jmwaeYNqFzFgLd1+uCQ50uM9aJo+P09Leiyygq3p2M
aC/IqE7bxGTPqFp9dzJyR1MpMcyHp0qCssWU96tD2tTOkvdw/3w7t1WLP8WaFG7zIJG3vD9UTXzN
FDb23OeHIpfPR14Rk6cuSITtz+nC8wh1P5+nYERSpUMQ6WOeternk2eAMUFV9PxI8vDXPJ/t88Pq
oOxBdkFoI9oF5uho+eb4KivS/lrATNGXaaJietbQskENicN1WaYcLThCbSFU4GM1O/trjiiREVTc
9l/LDIAx23s5T0uRE3SyVJoqpz9UOmdG0pe3RlbFt4pZmluqshY1YZ/6B1vVAmeROnG0n5sK32rm
I6RZOpHlL91C3+WBmi0zI+5ozdjZqW3l/UXGWZCM20QXzKjyftspvomssXK+62BA5qXbusWMmbKz
oPM6yPyWMX6+C0VzECvObRZtiQie7zNdMZiHianJl5PK6IPQMdeMSzk66ZgwOr3RbsyaL6RBhaT0
t0xrNM1LeoC/IsZ7nnssfaxWrDz93JcM4415drdu4PDPprIONrbaztgi+/i74ebNuWs3NsnvlsbB
jCPfVSapz0ZTDmeFwqd5litBr3pBo5IwHPhFV+1CXev8gxPp8W3C2fVqdLu0I7SpS+LFgPIq3apG
jhlXcUo/3lVwO8ajzMYt/2gNTvDoIp7YMIHzmbCFBS1llz5xo5Bonik0WBInam5CQyvrQ6UQBGCx
eD4/sP+sXAYLzOcr15p67j5q7j/gecgfflm4SAYG2UE5p5o2ejq5BL0caHTji6ZSbruyQKNnRSH4
snDZX2AQ24Jd6s+feinpOAURGWw6aE7gRanEdP6NA837gs7k8riLMBfIFxXyTPW6xWCmqurEfj0f
5vZb5fiL7uUO+cvOn3yFf5+YHByAgtdAFQCwhHVRanheX2EufascS0M7NBilEG4TDLtozIe+3776
Aj44wb99J79eR57wX3WtcEOXVc1o92CW/VKrTwb74fMLSCHSp+/kXQ8z0KpcJyZBO+ijvejFte0+
EVu/dBWOfL1HVb9s+tuy23bRWUsSoRY9sqgG+PCL8za/DDiPtVAfzMBzsJAH4ryLL4csxPub/eaj
0GTz6bPPnBvr9WdhRIqPE1d+FobHcgt+6lvXR0uSIQ4DQ1TS7hbR9GQrOopxxKhWtPz8o7LlBd7/
AhhYTYvzJubrZ7ztqy8jp+xve9WeDlMfQ4nR3BrdI3004pxKRuZLN1ZzRA2Oc1QjFze74UJLB4sV
j2z1XlXmZW1W4UIvOU6u20Bm1rRdvUkzIi2No8FXGwPYRaxdj0YWb4zEJUDJByCTk09dEwNTduha
+mqttdOqbydMA4feIm86QEvD2buz5g2jn7NMP2OqsfaZgPuE7DVXTeDsDWzgNRCSnrpPJxGbxNyl
TZDDFJerBN91iUTZAmYzc0yNJo2w5+7EVjNPkuurmwYV74R9sxryY60V5zCz4jHb9LRUrzMzXZQG
OQKFe9UKawX+C5fiKJsPgaAZju9CdTLhFUl6S1W/yDIqYJcIE4k4+A3i81fPyNsH/30g+BBR7LZj
Mx/UjbH1d/NJ+83YMLM/4B05abdkL3jOyl0SfQaS8whS1mq8VXbJut2oG2sfrePfRFe866T/sky8
6z+KNO3sTN6yRbIjAowEsRo45xqUwOe35kd35uvl6N2C50TZnIYh11FAcl2ND5WEmyyFvuI88vmV
NNkz+OwheH8k5B/Xhhvph9BYxmfoR7pxCd1taDhWLIMD5dDnF/xoBaR5yDkUkiAV6rsVEML6aNup
oR+GGI7p/KNXzj6/wEcL4OsLvPvs1FyexgJdPzT9qsMLMyhLwit/8y5+d5F3q6w7utaMY1M/uP3x
XB211pVuff/8fXy0Jb1+H++Wx4m9ml6WqR9k/MiYDoyhL9z41AU6/nyh/+3T0T4i7aQpntr/I1/5
viinOgrC9r/e/idRyn9cWLaW3/wHzBW0UefdYz1dPDbkibycCOS//L/9yz9gl1dwVP71n3cPOL9X
UdPW0X2rc5p5vsLu4V//qdF7QXDLZ/b58eiki5r/OPyImvKjAxI//nJAIpMaQa6p4Vujz4Dz4dUB
CeMdfSDgZa5K4qq00L0ckBDzgkFDz8uvonKz81MvByTxBZUvP/ZsLMXU7vw/HZAgsDmmg8GP16OD
9O4hrnX6mVSWwQEZAEQyuEm/Y0wwYH27UDAcdQyHF8LkzUHx+Rz4ervOtEJ1yxTaOjq9XR527pq5
eFyv7Wzcj8ZoDZjmp2Yzs5l6llLCdtJax7zUEeOS49u61t6ubZcgu8Cv9l2tONUy6wyr2luWAkRE
NGh40epq9uw1EAeLclAJbANy5THnVzcjZeWmRrvkDUA3NnUoKo8MTDZWq6Tj2ltnMd0dsA10uLoi
qDeREkDhCuqCdLk8Y9Z6mddz+JRRJa6Nn0oBp1EV0v6eFQRuyn95WikyzQuFlBm0z5KDshqr83bk
t4gAKs1kBhKsE94YpXYcjmG9UHFdQHJKdkZfbRizngydpS3sVjntwv6rmRhXldtc1ui/grz/aplZ
zlGmKmjyi5OqFl4gqhN0dnTlgwRZJmGCwWgdD/S7HBUEXR8UIOootFWORDPhebVJ5GQco0FMbeS7
RXUgajDeQoc86Ua4y1YyHYcluC/hg1dxUu0xTAsQOa6L88GKoZdhzA6EQdLnOJqb3PDn42oqj3tf
2YxZQqpuFGyy1KxXQEyXwVx61RDtCdjhkGag2w3wGM5zvfPr6CI0q3QT5yZ+QbJ/6lkmWzfaLm/G
2qtD8gLr9jg0pBEQRNP91CcNWluCdlTdWo8lt+qoRZ6gzqdyzAGj+LuxrPYDISILDUwRWiIMdDhg
wITF5qUppgIDp0CgmZNZl/uuTnSzaJeQU/eV1StMKFCDJgjrilR9FFb3wIzB2dSplR0bLg5oDChm
dF7mTrbSRhGZ6MyA7NiacuQmsbZpHPU+UcLdbCmnrWZft6GySUPfWjgThqLEWXYGEO7MOe/zfO3G
+iqufU8qVzJrSLYoQjfO0OqryuCDN3N726j9N22GEVgS/GW77ne6J3scQ/gP6/GIquZs5kV7Ld9n
2EFngV+sVO70RnvEx7YrxHxi+LhC7a+j/71w5iNkac7axIFa2+Z1NYP67scffQeeqXWw36DZMfXp
LPBjDctIQv5C4t6mgX5rID6h06qduCLHZCQOVbgFNhcuw7kzUPhVa8K1r8isuxak0owBhwAzDM5E
j3MOdABleo9smSMPTVIGRr32tVTCK8fJrpVS5rAPazson3R7PKpc5WgcwQ02sXVUxe4mtdIOHw6Y
0kLrdqIT7YUY4iPenwy9+W50JDhPBsUWkvtwrRslsFQxJluCy/TbYnDsm8YpIlxa0+QT401q1+jb
cOvGVPMEyMAFKvFwVf1M1pRR7S1a5EonCW2QCZx9aUannZDG1LSWEZ0Y9OQTRoYfBFeZ4unIPM9Z
JnuGpvVVaXTL6wn99GFfeb7MAW2F23AzQyjsZUoo2YrBMtDNi1bFrmxUZIkGPamiGvGiCAEvM5k3
CmuwXPQygzRxxY1FJinf/KrqlHlly7xSB+Xx3pcZpuNcRrD3ix8C6MPCqiaSTrEwDcK8UgMyUJt4
gttLLGos81EnGZTaFj86glNjAlSdWCfKjkhVyQQ2iFglaY/mWEzqZPtk18MBd2a8DshMWxhDeqvH
3ZrO8vdiorpwGvJbtUq292JqviZ3FjFS3Ia412mKlkh8vbjSHzKrHTclOrk47297w0dISx7XHHXf
G0yUJVGyVTKsdaJlNSJmcUl+M2XmLFkMl2M6neSE0baVxgM+xN8CTH7RwCM6jvue+NpA5tiqqXXR
EmxrNtbtGJqnRSyWDsG3AwG42oDQzMa30guXxYKQXL4NLyc0FwsrzBlidClPTHqNaGZbInYDmbUb
ytTdmCRYJnh8gjKRN8jtK0xsR61htUvQVbfsBMf4kJkDR/kZkuZ2W8QB1leSfg213ppE/7LcrJRu
RHzOu89C+wTXw7YmLFhrzVu37JkQFMvSSQ4GocJJJhaNTBnO9OROcZQVSfXbDjn+AkLknUowMZ/1
KpJJxbRUjgTRxY3MMI4FuGNCjWvT+u4j/+8xD4q2v/QxUTDfmdeNzEPOovBMJSDZV5lWEr/+XRUx
tSVeeZcw5YpQZUJD5lVCzDI40WoLwU6Kqo1VTBRzRySz5RfHqsxo1mVac56p2qKQCc6qzHJ2cDR4
iVPf5GqIlU11DqpMfh7yqjpuZBp0K3OhTcu6j2RSNAge5WYoLe4XmSM9qbQqDZktDfDUXunPgdPD
pO/JOPqblB6pz4LHojPTMg1oHO/nWlpialmGt/I0jlFUf03cH8L8OeT4y0bQu4P9L5eQ5curnsDE
XWwlHZdQKybs9qErDwB7Xh0zz34WV6/HuO9O9n9cw1IpfvBmgSJ7ew1d73DJu1FwUOFeOjZdLRSo
V9BKP78MPbvXld3zZZD5AUdE+SNnDm8vExQxDq6kJ6YCc0JFBF+DCluprjtxJl04VoMQ3fypyvrf
riU2j4XE1Tdva4f/n0sJeeD/pJSIHgGA/lqAyJ96qSAkdZ9uKPgVB33MsxfwzxarBpDf0Z/DY2lA
vlbNuF8YCoEy5twNXv9NBeF+4UV0KQgAHQS2zP07FQTc5je3i+Rz2FCTeS3UocjpflG7GWEW6kWk
Hihl6L5lM8d47XsRPDCrnU1On7WVn+BlkPNiVz8ZSv681u2DpeWHDuUGe+hF2rEvNDMnMmXcNEl4
k0NUZAJ9YeTOvnTRaDT2rWYJ5jYjo1I7OW5NtvMApR1m4+66HPMrmm4A2Fw1XVbYEFaImW+ZmGLK
1o/NiWGsVt3NuMy0eL7RhUIRMbYwK3KPLcdeJnO0bTp2tTifb7TA3g5oNpYkXp6NdngbZ/n17BQn
blzdMEHP4EHrTwr26KruvhIgzY7YmWvY7+vZns8iFxgF72xTulgSYDAQRdpaeBixxtv+sGuhwDMV
d9hd4D5XyrpuegcAhvO1GiCYlBhudsBRNbBe4jhWU1b7QdnidCISm5Q8BkYcVMVI9HSPdsi6GMru
Ymqz+jo1p7u0xBRnVc5REKrf1Mw8duQ4plTHPWYECMOBrXhmnG/bXolRocAPE83OckHGV755NGkP
nJG/B353PTkmcCkBhh1gyPdEJeQ1rYw9yuxHw6YJzRp1/TycG1TRLxXhr1sAs0yRestTx2kbN9OG
sFCv7KMT7HiIVINUrIYpiC1cOhRT9Wk7tuisfDsuNq0ZmSNnRRDMsyjVdlc4OE1b20XvrrcccapC
rQE8RILxVdOA1LhL+2rYxa2pt5i5YYguRmOYsFjqBVHAqQhXQVhV+FDdfdZVlacWxn0e1hUR0vTD
DIFUmk2N/zdw5pubexLuxdJNqif6vmT5ckqacoIKbG3qUbITPz2X07Ft2KdKqDvLFkMnxlmgFEp4
k47iNndGGJ5jj98uCemaYz4RlfkQl80TbIHHua2nRW+nXwNLcCsYxp4ISUi+1Nx1rkRePLSGJ8z+
bNQNImLdZCvC+tZJzHZtKCJFo+rcTq1OPKygFrPs4aFx9GGBc2TkzgEwkkeNs1RjN9ingXIa3Kb9
Kg+CIzT0D2JEu5txv3CIN5P52MrzTVyU5yQMcOhJxutSMBC1ikAWLQtEp0j3VeubX+IYN/kTRxu+
BXN1HvnpchKwmYfmNgcHDbZfgWtq23O04qXGhUqmhoKJdEEQ8EJRQuLS67FfdAPfOGXZRTcVwS4J
w+PZyk/nugQmWj4heamXqegZnlRTUt8/L6f/7Cuypf3ZvoLdaCq6D3YWfu7PnUX7wnSM8xxZksiI
5Jzjz53F+MIwj9bTz91DNsT+6E0Jne2I6GKYhyjJkCHT7/mjNwX56TnghX4Ssz1NpsC8tOr+ON3Q
5fvLE5X2rMr9d4tZ7iwkBLCFSXM8slCLTt3rM5Xmd9QltVWcjbUK4aEXw0KUAgOsGLahDQqjnybc
ROrA3kNX71hNM6hGFkYr7LtqcRPBpd3TlhoXjWFUwBItsTXHrjkdEr98KFtKCTtleQpTG49jgPqT
WGQF33UGheisqbP2QCyIuFVUq11rPkIsYsU1bGu5n58mQek+OEp4MY2peQg0mgE6sR6b2bGy69aZ
TB5BGxaDbnb7tgntHUHIzLDtjgASzZyKr6RyY+s2Gv2xMLv0xlTTfBuYDY9y6Td3PRIxwM9O5Nm1
O2zsGHkUjaHyfMADk3Z4nIMoKFf9oIn+AHFX9PcYO0NxrOF1mMY1ZXe3oYnQKY8icOMQwGvaYS33
m7w+2CG8IjvQxhAsvAtmZOjgr81QMOzh1HGVggZRIMJRYFSnlmaW0JcDtQluoejYUnLK4qhLpx/4
dqvM00nacCt/vLWG1LhDAGIWtLqsfB2EFltKZ02X7VDMd8yaaKvneqQSjMy+EgWau/HLPvjBnRQt
1Xye7/wmnB+xHN7USrXOg+hIsYtmlWlAdQazhgleDgHxZVo3bRJKapgb7XSSFGO5Mls3gR4ICjzl
oBFE6yZrDXQkfQbZKam+CTtKd6mrXRsQQralwjE9VId+YTo1eepxY106hLDvWqV1r0u1sk5Ht1JX
7CauutBbEyQqHjDwR6n7Q7GBERtpC3l7zA6IqJRV3fbjpleUZvSGtKraFcbpkhlk0eym0s8vwK/h
rAST8z0AvLGaXTu+HuEKndixiEmMQVui+Tbs0FnW0slc3M7dqBxz8wZY6tDMxUHt36CWH67zuMY9
WozRpYIL7Czs03qZIxNKV7kQfUM5iYi2R9vRQiwzm1WApxdJTm5a6MHgf1j9QqTGkT0OxjluTsxo
amFpj2VRzusqAu7vlg1AgYHslX/W4udxgfnpGf8r04Xuo0O+/LGXpRj9O718Ts8ohmgcSrHEy1LM
BMGU0wDO165UjVKuvYwJxBdXJVqL5RZj0880lZcxgQFbROhwQgzIjc9/9W7p/WwpflvcShiIHGHg
nMLOZsrAnbcL8aii7KnrvDudAcpw5pUHb+zJ2c8b5K9X/OfS8s2K79omEljk/GB7QUPKX+RVFa2l
hGtbsShP1c50r5OwUiySLdJp3qKBNeul0ead2NEwmS9jnZgLOvriW+zYwW1ZxIzboe8da7Z84u3a
HM/CybgwpqIH9zMFdoMzNG6M7/1YWc7Z4Fd9v4414uh70UcLK1FSZotpg4W+LAvdK4YU4z9tOyRm
UePnN1EyuZ7pzLW6avJ7MxXDqS3K9IAsFKCcViYp2ew+4QsptY6SMmRY2NFQGAe118zkpE/jQ93S
5cP3Mi5D98zQ1Ef47A95FaxZXK5sOjA5mA5TsYqNDhaOjNjIczlZu5lnjtnOn6ZqZSQkSzWEGqRT
9RQ64cVc4vDUy6fO6C9TLWBWL+r41k5YN2V08l6xy/q0akzrKI1ciimCvuZZZ4aqKMaTIKplK/xQ
PYUoTwBhj9qObo3Joi7FAu4ppH8EtrrTr4Jo1jdtbl9PmnJDUnm1KuIQx33bBjr1joE2K6CT5emU
gR7GH16ixZ2fWPV1LVpUtJaThxdN0EP8s7Wauksdb0RKCjDOjoIKL+nqlVBqsHLmfFFZrXMUKrAJ
Xp2DPuih6L+Uq0zPOL0w9oLPanBbv73FoK1UQQAf4LTxsruhXmiX86W9gC64JFVsC6mJwsHjYODV
HmmZR2JtePrWX/52EMwT/bbLQsK2DMUDEIyKBEvf298Dk8bQEQxRnPp6cIQjY1wmAQkJ5SCAd9mJ
61W9D4ROt2qKakfdB3btH2l8RwA7ICDa06nrq9PC0efvmMnddUMqxLptyzWZIN9tE9M7uJcQE8P4
rUphzuk1GRx2ExurcfCBb4VoOUwywCYDkIUGVgtjR4XgWiYxbGcDz7eub4TMHkDYKbV3YkkE2zYG
qVgYuHsLMt6GITjRfbbyJI+0FS5+VB1xs+IhPh1G19hUAZB80uKvA0J0wFntu9FRpdpvoybcaLZb
wdNT48vPv+J3Ygv6V2jOkGSxXiKLNd4rBdyZA0mZ+fWp2qOfYSEgN65WySSIQs8sqKJFFdCT+fN0
/dFdJVtv/164/ohffXXNd9+mMnLW61GPE/5hYOlg8NAFxWpu7K3IAFtXPsg6qy4XNiWpmTYtHNN8
wrTd0UZVzBPCKm7UiDNY3yhPPmw+dDh7vbDOVX++N4PqewbQaFWhnT3+Z0/+uSejV/nzG/zFrXb1
GN5lH/TdTH7qZUvW5XgeJi5o9xf94suWjLRRtdihZNAA3TfZEnupjtQvgh3MccDl4lAypffjZUum
JcfaY8vqiZVHUFP9nS1Ze3uby+oINpjs4yEtcCxLpnG+3ivzlMIJnoZz6N0waVaxYVxjOt3Gea4c
dWngIdDCqiVBen7f7cZh0hYF2mNP692j1iTwA46Ltg7i6cpRimrTxRkYOC1KFzixvbgr7wN91DSq
gm70NzCPOmVlKN3XhpS/iykjXcGqLf+E3AhrF4/2yqp0qF92X+9NXXSkb+nherS1H63fPKmEMm7L
IT+tdXj8S6toEg8y4sWkjefQ+Kzzil4DqvEBjViakzdLDSWTyWhEdC7KZLd0FwiAPGdM1nHQKVuN
DCYvziIoQV30oOX62K2anl5jm5PXZJFKCSGSAMzW4JCQ+Ll28HVSxsYu58+g229tLdUWJZefo5SA
F05lXIV8xJn5gXR9wAs0BppdAD6KkD6Fvm3rTAIx9Ls2NRA6Bn65KNrehO5HWA3WaIZxx72iEl9s
GfEyyqppM4e4wOoOrVkHdrDGNOOpjnJdzg3EsHoLuNjZmdV8BiJmWhmW+82o7PuiLk4r5oyLWguP
2MXO0LhfBT0esWGoV33iPtWl2KmduzebocF8xxFJy4W9KdPiJh7SIyuPbse4ZWTuKk9j4MhYGncd
pf13E6x2mdvVThMhk7ocjlBu8bH0KYWSEQbhSYT/cZFUTYQWvThzpvhrotoZdh76g5hsRk9xXGJU
C7C0c9OQ59ncOhb8WzZwLwkitPRBFBK0UH0t6GGtMzVlyOZYwapRxyvIDIgPdKCoUa+2HiL7fmml
MEMC0Z2VkqKqSp4qaTv3omxvekCrGS3StW9oD6VksKKbaI9yNi9f8lmZzfVrSzJb5wqkUcLtuumA
FKB4kHDXSHJeS2HsiJFyNyT7xUuDBJLdCBZ2Ag8rwMQakhfr+oPtaXFDHqzVPA05QEVMfdmSZ79c
lpI5GwHjIb3PXVCKuzA/eUZIuUqBeECr9bVqSS0I3AYWXgBrbRU648EAcauDug1B3lqJs1NA4Hb6
LstW/rB3ec1GtJdlBS3XApubZNY3280O8IxTwvriaeWD2E00Egglcjdvb2zJ4C3Gln03Ll2vsd16
WeAUWLRxvi6Scs9waNMo2TX4qV1SBSdtVmZbDdxvxGhfB/8rOkBEtiQC1yNpXak+H8G9ug2hB5sW
7QCLJKldXNknupudQsLbpBI57Ej4cJEkMz09gMQBhgrQKFq066AV61CLNejFqTZW9BAAGluQjYVt
fuvIUtIzkMeA9tzVKDHIYIXMFSkjlN0Skqx07QYqB2NNax6XCiTlwfK/zRKtXJUgvmdoy7PELsOt
JB+IsK8SKrM/14+VxDTrc0pt7+qgA3FFQGZJFi4f67KH76zDeW4HRKyGRD/3cSNWSQ8xMIELTfbk
sYATHYWhzfgXdHQKpEmFJT1bxpUP0XlZS8x01aYKXWrtAvEUlTlnJeht57qEU2tQqi23AwJFG6TK
Hd/TGyxgEK19yNZ92NDalajr0jmKJPzat7PzFH7LaEfKUQgfO5KgbLUdjyzI2YCaAE2NxARj60+X
Vo5DNpWo7VkN90gkiBbzi3EF7+spmP0rzDMGvHEawYaEdo9h/FCXtJ8KGl+qBHszrNGXOb274wGg
zLaF/21LQulczeeTRIMrEhKeuMHlaERep6MTgSLuulm/FmV9hA0b8JkWBgxRgI4bg0UWm1WYaz+b
bjJ6tOiV7yrSezejhJY70MutLrvWzf5ktgt+VEeY04u1TI3sC+eYkEwmAX67BVmR0N2wIk4+6may
tfsZaroZsGZzUvQsWtGVVj8Cwd63cNZneMwUT8weJ/SrhnZbIPRBSpNA7kJgkahbG2a7GrRr0XMT
oBxh5eZ4FYHENSXofZzsqxLy+yzMx6RloYwMi4jIVKpraBq2zMA1g+P/2LiHGizPRhfD15T7FumT
ADEmWai9TjCwW5/XZt/Tc59RVE3BHXtn7RVRSI0HlNFD2mcdHEdxNjS+9E3d1BSK2qWZd+Qrz+41
NKzbOKGNXrMuLBqA8SAMS40VRIMG7/xgLDRuarde8/v9qGMUXrlTPFDh4ruMoTrmoTGfQngzVz5h
wex56Jz4u6EMj1sQPQsGKUujVArPzboH30owB9rVA0HNhzh2G2It/WTZ9v4esFpHnvEUrt3CpZob
W7Hw4w5dTssK5jvmaYhKZ1WWEWD4qFgXXbCd0Kl7Nuuk4pNDqOSXUzGHCOTi74ld3uN2B+VMmCSK
+w3nCL4Dv7/UTAInq57sLYLhdmUbshXngihAjkbLSMNeZSlac3BnsQqI6EtknKWTDYfRRqXekHSp
GlGGCap8cpQcnDJpmAP2B0+pyKcMSMpMQpQbJVoCVYZo1vD4WM0bsjVFH27CSJjKMu1g+iKecKvT
IiW621rUkcpwKo6qfobL5lbhT8X5P3MGQSXz1+foyyK9+yjyV/7Uq3O0hMmSesOJ+d38Wv/CjMwx
bM7YWNQlAuSlteV8kf9Umg1RyAJRouX0co52vqiGxjFa43guD9J/KzUeIe6b0o1ztKzDcUqqNAPg
Nb03CQlOBrXo9OngtEF9ZsdsRZFW2jdFKvSjaUiS20lr7bXT9up+oJm7wC0XrshvmL/a7tBehmqR
omyE0Pnf7J3HciNZkrVfpWz2kRZaLGbMBgFNgirJVJswJskMrXU8/f9diqokE1ndNeACv1mjF22V
JC8CF1e4Hz9+DmVUb2FJDchByMbBKfAsSQJn12mKd2oYnCTa0PD3HTDfnF4kJALzYlgTU20HdSo5
HIJmjXxXfBd6MjW6rPfm8ggXqCrq4VsaBP42L4VQqtREczUj+69tu4AaOX5yVDQtBfrupdYWIqlN
AUDqTzKu30WV4yc64D4LG1w+j9H4nLUhp7FjlvEsCI01NBD8fB2N6EKOpgb8IYpQUFN6ndYeiDvT
5KOkX3wNBt9DWq5zw7jYRhxuqLJl8UadnB6ClaVe+Ir/RY7HbdhqFddJdmnkpbwI5UZaNaY/bSe/
1bZBIFuLREtOFKmsNyHMrLkcBPoqTjJ90amqtzYV6uGI08fbMi36mZd3l1OFsX2RYDPYSsY0kwwD
wTs7p/jvnEUaZYVuZHaklnpM2BfaPA0VerJqFbMPqy82ZVBvWzX6BqVgmKWIR8xIqaKF4hfbwC+n
xvU6vjA0vat5IsXy0jOVdaRLNLtUvjsYePk2Me6VU1vcIu0T7Tg8H6Q4lwWpCZqVgQdpz6UTR/5H
U7MuU4tbOh6Gldoln1Rquw7inrg5Vmpy3pXKRa6iQOjXFt4Q4aaQIClTYQAbMBZewfuY4hRPOt3f
1TVuB1aWntSa8mAYebuszf4jkTEC9moX473ODZCm8rnlO+sszVedZpxGAzAfBqWB0iJDmviKa3rm
BRXt5eSH5+kU4kWNBa2DpDFgz7gz8BooYukGLgm1rUE/oRTOT1rvW6pW37UeApoT2HeDhZmvMd6U
DoDP4BV0GxU1ar2ZOqZnZWzktQuhiNgdhNQFzYaXSeRy6hBRsyvSMD5VaH5vZ+2Ipjz+9NocFHA4
9ZEe3PwH1HgENYQK998dxlm+D9QQf/XnYawCagi2DnA5OOibfk0oZWAdoo/xSZvir8MY6hFeK7ql
oF4BcPrqMBYoqmizpMqAxtI/ATXwqHh1GD/2OYLeUfelc1TDEOoNxQ0l2aSIEZg+h8rHAhJou0uA
1d5VUbvodCp8curFazoAQSwV55PXoFToEWbPDcP63qTJRwuK3EyV1XnbII7mFeH3VpI3dVeexhJC
PJVBgwFhwNwzu2aJG+q33hr8Va3inZqW5absKLhN4bnWSBuUM3c16jpKha9o6yEc3Y34Hli1vc7C
aDFRErW0Zt70Zu7m0nQRm63nJmF/RSvgVzwdJOgW2eUYSyAvhXQtBRCSPfKRGSkk7FrzJIm+gH9/
6325RbYnuqorpDWrsnbhn5/gX5osEH9ejXmu7uRCPw/CSZ/Jin4yGcVZl7Undu3dF05/EtJEpJID
XepD2VHq84gR0WD1VelrXxkLqCLKbTXi1dPHWMPX1adQle99PIwII7WSJDy5GSzpvkW3zM0TZx3H
9m5M/GCh8Bk8Od6FU3FbR3m97Lw4XPSwjdxALekCMDwMn0lyKkjd3I3nddt/g/oLwclSTwe7XDV6
nM8wMc9mHWITdu1DOzXOY7WAQN5P67ZXZHecnE+R6Szb3tj1BHFyY3dubUeXEE5BnbPh1K4nWCe2
vOi94ksY4ExN5RlSkBN/Kmtq93HcfDEmVKiFvEZTpz9yu9ohvu+fBrFP6xNsoAy5UFLUxlUadV17
kFzq0r9WkwqZJtAQ22qcLdlOsaA9/z7zrY++N67aGJXKNE+3Y64q1DikB6RLBH1laUbNZ/5tneWU
QPTOtrF3glocRA1WkFFy6gzptXmaKzFhPOKxJsHNPNC8ACON+gdctHVkVQhVgwtRPPRRrYx3Slsu
irwFBonJNzqp/qh01QpRkq/6qKwcn0O5sA2spJAXb3LqVlmW0mYbjMuyRkKtmRKXy3kxBhZSJeBY
kNoq6j2Iwkep1yzUUVupfn4SG/oycZANjwlI9LjfRkETuUE1nlUOc697Jw0azaD0yA7fgWJXn4Os
EVIDDm0lZp5ZV2oh26TXdpVKlzLsvCskpOAKKUO4bDR5SSuEOWtV70fsI65LPdENcjRQZVICKxs+
1Wb1vYnhIhR5fsm9tcJC91Ipko2NorELDDYvBjQPNKubI/hULW2jOVO0ROfD0VNiWRK9HBES9gPG
2B6UECexJnzOa1huYTpv8oFMarwdTBoqhuGb7RFlOeMNXzRQeyRtxlA6zUoyhVjaZHCk0W50/Qj9
b8lbR+mIni5eroMN6qhPW61oPitlBcefHiM1HZZdSr1cC6nbhyV5VazCWLdWPe5E4C18IZ8a4W8w
tEL6mHpJu6FZGQQys+ZjWs+D0PmSRqImUgX0GCANBR+dfqiU1GyKszWMgzOKbnd1r7MJkHYZrGIR
EyBpxbjT22iDcgyds6qMo1Df890aQGG0ZNfVXVt159Fgz+tIv5ZDHyb9WJ1OMa0+OhxHPWYXyjSL
lIPiUJOTPxqt91CaxFNOB+kB0Qe3tro1zEfAmBKNCy298OSpoyUIh4UQpWkEY9xAb3e9lZ0M6AnP
UuAW3be/ou87a0x73RKKVKO8cqz2IjS7z7JabDwcvJHDsRZxlHD+DZk0K8z8Smudxg2nCtF3GIN+
tE44AIuwO/PM6RqToVmpNpee2m6rksS7hOQ5QASkark0zWqhIc+PEVE3r8EhOYW1pWM0J9BHljY0
GNehS6Es5O+JR6dCo7bftNBOXHg42gZS+oWSYXTs+5fAOKeOPXbuhHz20pz6rWzGroXZqhsXPnxR
KXQ2mm+0KzonL7REWlLfvcDe+IemTlDhi3mNyVNd2RJGSiiF9FJzPjbFRWPZN0PYBm5qGK07pIaD
BJyafIkxW5/7Rfcjqls6wGTAhgz6Yn4aOCimQ7a/alEhU8Pqh+GPi7ZVirNgGJZlNN3EikpjUBd/
4gRe1JlxWUleDkfP+SqZ1eehHE7otMfRrk1JyAvIiUpwQnXcDQaQod4/0ZuGY1wfNziSEkYrHqLA
gOR1/KlLUGSbK7jBLaUJ83Ib8d9EDjd4wUWUItNpPuTBvd5p7XzsgKGoO98603SuVDQ6EC74c19V
lhhURTNPK39YDTGp08Q7GP0cl+OQzfFh/5xH6gWlhysc+HpAUx11z/oOssG8kfHXkcbz2hw2E5Ce
W1nIStEXdjOM0qdiyK+TEKirz7R5kYTwfsb+vItRp9cn++OUEecnbdReVqBGSJRb0VoXUvKmh2mD
myqIGD9Vy35LUHi0qP6rzCdyRRPonTYzmjOhpVlv+Al1idXn6GjOufIxnX0xlt1F6U4z4Irb66t6
R9PJIqeMHJ4aq34erPNlsDX8dbQLVv8JcJ+qdn+LNnxtv++r2b3GGiivEb0SPqJZJCQr/6zZKTBs
TFn47SAd9FguewlvHX7iEBOLL/aNjpKN2w7i+PjqQKex/2HNjs7eV+HtI9YAmGEi3QqjB+Ylj/5z
zS5pqkYe8kE+b6L8C1i3sTJjTTpRpbaY0bhSkDBTKeckdc6G2KuXeY6+RFPr2yo3sPLLwNlD3TFO
K4okM92OcdjozVXXtx8Teyh2FQYVRUcNqrHvlC6WubJ6svtWmJb0G8ezl3imyPOCTs1WiEJkjqhz
9PpNn1VrPQyya7gRqLUXxR0CPCd5W9xUil64eopRnumXd8mI9lpe64D0fb8eimGg7SwPskv6mFdK
pOsXkmaeeGbvLJpe9ty0l7y5pFSAyElJCtrcWq1/56U2rV9jhljQWJQbHPgQ8cilqyaxE3xcMB1I
zQC6uVZxv42WNfdCU3eBs2EPeiM1FZ02UUe7r0PzklbSM7sJg1kRxF9CVbtucqeYS5H6UMTUq7zJ
v6mwSAiBGlqcBGfppKw5Bu9lOc4gJQfr2MEqU4aDRytcmvkn0eRcKxGECUN0YFaqfI3Ap0q5S982
QdG4iefhR9AYt2NbD1ya9RfYk9zoBedTaWA7qMsXQMjKPPDCy9ChYUZKe7vfjiNtaCOEZxniswwB
2p7Ck04worWovmpNAtLBkCG3ViluNRCoI2pjVBESROFIe1A4ImTKKC2jmoGKVby28wpDkKy2zx21
GFdY8CBNZ9IQnJXOzq+rB7Xs5JkzWf6l1MYyFRXjzgE0OCtH9UdCJg8qagJhBJHqnCUIgLpYnmFG
EdN02hhpvMySrNj6cX4epFXhyol93ks5BSsTRqQ/5j+o72izGgX9tlLPoA9m9Lmi6dGEsEOUNuei
MaRVNHSE8Er7zSyCT7hrtG7VUkNTgwxWEf2FaHOq1GCoQhLjf7Lg/yte/j31vVUL/rfVM+lSsYsf
Onq9bUCBrxxsN4NT5MpNpW3MpNwUZrodGmOh+9r5qMTnyF8NrpMQksl59FnuvRsjleo1aDCqv5J1
UzW+wWOrp16h1oS5LY2fZRrBI5av0rHZytiClHF0FYb+wmyTr71cfQe7y2n6xVF2rLszu4rbeWVS
PcjlbGfYTK6hS1vKqPrKlKHhtM4YQ7+3TuVSuYOho83rZvxcaCqUZaVYFjUCx3kzlfNx6DaxN8kk
OfJZn/TfA+Z6YWqFRw0HE4VcLb5oWbFzuPhNGyco+MJQfry7RqZ5tqJfRUr60gWayQGf2pNhjEvq
vknsZqNx34h8qqSlJLWj09KrVFxdUkAjiD1RUH+zo/KExOxGiadPilRf8nxUA3R0TXtnVw1ZMueB
5/7U9XOH9MQmnEZBSb6qHe3b2DjFORThxEVbbNhK8Sht8pQCdQafuovLjzrE46CIr2wzM9wi1ckd
dM2rN57FKFMVGOvU0heVV7YwF6SEyqh6GckqTe5wwd1SqQH5cit28eZCFhZfFFf1LYrxImLt6Uv3
goRakD9cRkgbYNIg32H4+yyD/R9UX+di/BsgqbmlXSS5bWuAozfSGOIv/wSTZKG/bOEL8Oe9+dNt
q4tLVn/WM4Sc8nLbAt9bVMKQWaYUiTIXP3pB9q0P7GloM2SnJpRTrKj/AUNG035B9tHOgKQDQ4a7
G6EuQcH7iU1KO60WV0OSn7dgI9MOWUEjOlN0OVIXDVDRBTlc17hoFpwZlNaoGd3pMPgXlZped0oC
rqukp6VafU3GfJvU2VUI87KRVMQEIm+HjPWOCJWdZvUrX8MYparjUyjln6coe3DCepjlnVr3ghhy
iS3aUkmpKwaU7lr6queCIwNtINrB0J8NmGzPK63LlO8IP82GrveTZe+DmGwQra7CLV35jQ8hQEIh
QO4cqqhpoUV06ksyCaHZFRsrtNJVaTlbE6sd/VrzGks04/URascOfQGnVRTWX6Pew5a501J12bVd
NAE+RCdWDQvETRz4JDQbGBJOdXYVrUlaKZaVlS+XKJmaNFLTbPS9NVNQoyT7bBWkNw0ND3aHiVoR
mreFl3tzqy/Zk3bSL6kz7KhjlK5aU2oEY1mUEzS4gGpv7nU3qux9kqpp01jSVYc9adb1G33M5p1E
V2tvIJCDA5NdmG6VqPg/h7fUOE+QUZI4Odtda5GBWhJeEQLtQK/7qmulDerHi8wjIBCyAlqFTGC/
xg4EXCddox5y6jvZWaoOZ22OQ91YXzlBssbp6QbHYlJ8C/anf24GcOhhTH5MCrq/snCeFPKqN+qr
qsFtdaDlzNQ/p+TVsmPfOna9TXCmoYKJx0nk/MiUfKEn5pmGWw0GxCu9mFwlr3ERqi+cuPla1bTy
Yx1UUNHMrOBsyjGlQCnBMSjy1vq6HtTPU5/vOmxdYEcQJOg49uJIHARnkZef1ZpzgpXFEnBzC2K4
Kkz5m2pESzoMd4XWfPdzO6JtDicoy7nGSRgikrKConOqdJAO6Y48a1Wka8vorDLVy3KkcDNJN0ag
bRJ6x2ZJiy9inG5qRST8NtyY8sHRa66n5DNw4U0uB1eoWyy9wjhF22aptine0x1uc6Ny2uuoSvAQ
rpMp9JQrp14Hx8RSYD41p75FihmSqQ7BJq+hUqGN8VBZ6lXnDFfVGDszz++MS8tAgMXsgzPT03ej
oeIOkKCkDtaAYlqo5qg9iq6fmTGU57JpYDvFkmodfZPAnHQxTqSUUTv3oz+c0RI4J3AFqfEvh7Ix
5wM9edgbWnOtLL810cjy00wK3t4K1HRcSpr3DefpXe9gPmGn7XUM00CTNNBFvanRDp9QFwGgnmkp
lWwpwLS46KRsoQbKztP1K70C3sXQDZ/ugW+cDoyLqJBWtZ7OC0wnoXvFEqKiuNsAwuyaqF3FHg15
QFAyuCTOSJgzhyqVOKetL0ovGN1Mr09UQir4LfVJkmIv4sWnWimtYC4sUrM8K1QskvoyvUN9hi9j
kubA2P088kYmqzEvjcTe5A2UX8RstFkWI4cHH7jBwLt1cxkteTUwIuCd4jQN0duIgQloePnSWAR2
o5rS1plOZ8RhuyEO700NxFWyIUMXqKgMYYDyatRdmZn6CZGerUSma0ttskRBmGgx7HeGg9h8p3MC
IKGCKl6RoRVfeu0M7/ByGbXjaV4q/czUwvM4Lm86szXdIBiufdNgvUOdy6TG7RBK8BKmJihTSC9V
dANglblOSIJAqb8/nXJKiYEBdvOfHPspx+bC/f3df90mt9XDr/e+wV+93PtIlZOMQmyh8KM8cVxf
7v3HZhUNpStsFEzEiblyX+598wNFInJsWfDdbVvk5i/3voF3LcV+cnZWFumx8k/ufWpFb7Js3pi+
RJlnoDuRotQblIaTXi4phtKukuTQi9AcoQUKknpMx5bcoWlUJaiNeKE75t4urDD2NJS+dqusu0jr
fGM5noSIJ6IHTlfOayk8CdpohwlsTzwefiRzvO/wLXelvLNmkdSnmKuqWHMKTRTZ9N20xglvkFEi
oSpT61+cEoMFO3BgMgqc05GmJTZjEvpIAT3IFUmej88Y9gKfDDv7Voz5TRegtZQ3deF6pvmpQrA7
G7LPjSN99jJUmpCX0LRw18XBKR3T3+qcTpzQsS4qzbhLgHIXKR8Mn5PQXNHivG2V/Gs6yiOyv9rE
sKKHJ+kR++hvRrWoFmiwL3V9wuAy0npX76E3xpJ9jyOiMbcT87Rukms8/GLX9o2FEdtXeejcl7Vz
ERq0MKslFrqyHzULr6d5sOhgAGR3XpN/9Uq09PLsjtIh5bO48hdthkFGbaUXfuGsw6Ce4cv5LVGR
0ykSu5j3JtWSvsjvesXBahvLzXSseowVtGk+6ikk1hKyE42np7jtbUvdO818KtZwzJZj3i/lqt/6
jrP2VeNqnLofoR49oLp4rQF3oHz+JfWndA7F9AxCquvIgAt9TylFlSPcE+kJuoTOuguc4QdXYT4n
tFrlsie7bUXFLpXVz7pvXOkNDrB2GF/rvvqjVc2OeoL4c6NtlySeX1Lg+DoHjCXw5ZJGMwjqcwR9
OvmaI5+/RPTzjEMXx7TYQqhAoewvwzMwp3gpWwWd3ba8KpsAdDdGQ6gt+NbSRu1dqCvzVocTWSLl
ZIZ1vfLq4iT00nI7pTGxJ2e+KKhdWQnYY0aAUOr43E4eKgMxvGbohsCnUx2BmLLiDDoYXXtiEY81
32GqFv6ir6aP6J/xrplNdbJbenL7cbK1bdjH2sxS4UnXpQfim6D7g3rUHaWWLzYy/jPLLL7LCt7H
We65VU+C18vhmlKcRFk0WMsZXh+SFWeuLOcrkxKBIqNKWcuSsyaAxHOwsx/SqDzFxb6bFTWefpXT
bEwfe0S1Bbzx0+EmL42tp9ILw2pMuTOa7zXUcFeuFCocUzFdpFR8TvQshmgJs8jfJCrez/M47j/j
LFl1iMHVQfiJafCac7URFpJmaGhL00vl7NpCdTCf601BYo6aax24CIdbF9DeQpgTJTI6Wjn4X0PK
g3XCEprpge6dFbgKRg0MScxX8W3314EFrzIoZaEoZgyXSLxtPb8MtcVgQcxAOykBULfNuty02MyY
1IHRvnEhQCXpvB41dIuSS4zQhnIlR5r6Je6hM+9AYVrOmSRQ5oNp3cl+i/VwbI4V6gS9lzsTdEjd
KDFYVS3/Wm6spP6qYtToUW8EYoGikpreNwTMAn0nq9TsYNYPbfGf6/JJC9Lg9vj9dfk1T/YIQIq/
ebksaSPhwkP5EYcrGBQGjIaXyxLxbBpMuA/JeVH3Fy5bL5cluDOdJ0i0CPRZSKz8dVnaH3BmF6w5
5CT5Jbr2/0GSDK3pzWXJALTyw6Gg91S1LYeH+DlJbioayhM1Gs7ph6c6Zzdzy6uuGzUN3EjlCJ6U
LL8OyYfZNWn6sW69ai3JClXHyUP7GGNLH9pbMyt17Qyin4xLEdWX0YoeNMTLEMqQzZOg7L47bV9c
5yNAVlwmw4Xj+4UL+mS5Tuvl13rd7SqZdd5kzrxD7f089fGl7vvMv6Ioma1a7E8Wfucp81pRbkBx
k3VC5RHnT21FJrrRRvvaL9tqOegI7JERY1YYDqnL3fON/v1+7QjH30kNb0qd/CoAfl42k9O6Ukw3
psIUnIcKdiPYijoYoOeicqbSBp2iX90XuGokvoY3UIaCuO9DDkT2HjGCCAy9TU9bmj1iB7IFTbSz
Jsd8JMem1ggAelt9EVu+vFD9bhtXElpv9idmc5fnNJDIDX2POQRqYvPgm9HplK0dcAMcRX3cxHHm
SBZF4EOB88OPjQ72RR0S+ZBMsbBW8tfxRMuoZKYPmo9Ny5CZW7MiI2gmemjwAoiWDVH5MvB6hC6N
6StfdATrr/iYS96ZTv8+EPRaQ62OT6Lde2N9IdVZdxrbdjWrGmFo39tn2uSACnrTmZHzlTYFtqRj
T8eC9p0Mm1w1vpO8AiQ0CLZYop6bPVRh+M3NTPHpJZd6dWNQR4OSiwpJ7zvn6DI2rpqKAiT8iCGF
OGFp3sxQgq+FP13qOpo3Je7b0jBJsy4jMWR9YABvl7F9ro0cjN9FfW7cWAQBCyvwTxB0maDtK5U/
R34SDoZlPEgwIsLWRjFHGinu0mzoOZEBMz/ZotldzSyDhho1VU41iwwo6ZCK9GSF1k/DDlejEUPe
JAWupUm9qgyjIw2pMqrd8V2pQnzDQWJchOmIcSwuWgSEXNzxxCTTJ7yRxrp0UYxR3J4N7sqsVM0v
rpIsG1jZ+mawnRpFglS+zgIPERVdXyt5NswqI6Jh2DHTuer17qTL2UwbvYdxVNehZBub2DCuq8aj
MydrXCvWXGpMZ3ptJJteN+Af9K08sxJzI9mVfm41I+1OSBu4hRIimlnpH7sYkNhrjFNyM7KxbHRc
WTK2FWISW2XMT0o9UTZlHvItNbiMaV9qxTuXen+JJsGwJCxcNUjQU99Nq1U9wlCESz63y+R7kBhL
Oy/Y6myTQjAs1RSXcCiXg+BexpJlz6neKueBYGZ6gqMJERttGgpY3IneWVdK+Qw/MygqDm72GXiC
RpIHeWu4HJUaGaKyIN4bJ9y7BD9ULhsMXOtcX42+B3tU8EiLMjtB8shajIJjWgu2aRkp0krPYaDm
ZXFpSnDsJ8ipkux/KaRUu1CjcHA5/eKNRFHNDSC1SgTAvmC5mtBdSyvyf9QQYJ2AbXxpQYqdHumx
qC1Alf3/Jd18RsP3iin/KRIgfnqRh1lznS/eyjH/W7/0ckftH+j36sw/Z6JQpIF4X13Gj8/0KA39
d0MktyhIt/coP2vWB+5VSlSI2zy+ICAmOUIiTz+mn5xisIKgGZkjqoG8fv4a9z/8r6LUv5up/+sk
iNz7DQ4v1KL/8Uwwzk9TgeUiBsXoR5CTi5f46c9TgfAc6Qa2FvpTVf6nhfJ/+4D/zkT9/mvcMwnG
W+GNf2c5vJ4EHf8S2Gr0GDx93aASryaB9YAqhyKbonrAhB/fJIjv7cCVgMKIwtdMnLl/EkQMy65R
FCEQfoSTIB774EmwcNPSgaXggjy+CLlfrQRhdUNByxIFqyOcA5KMty3v/3w3oELjoBip/G4hsBvo
lsGy13raece3G36pbP7zScCCCLM1pgH+jniJA+PVuaiggKaSMgnBtONcCU/b9InX9uel9S+uydfn
IlmmyEoR43n76WWWwKPO59MNepwnArvh6cs5ZA5ArEGjDZK2pxOBM+bVQhC7AfcEw1aeMILj2w0C
+j7wbqBcD27hsNqfJuHtBcmxSNGebhLlaHfD4XcDFyQ4jYKE9JslID49tRBOi6O9FQ6PkQiBRBjI
tfCbA1FIQtogSEKv6ygPRAGtHbgPrA+Abo5pY6L8+PplH6D8YkMUVcC4xOtoz8WnYP6Ac1FXPlgg
kpYqzgXx+iVSIqiWdY1I6Wg3BY984HqwP1goboM6Ps2BCEBfXQ5kT5yYEI8ebeKOdz0IY6/DpgLZ
V8G21pEbfDsH+gcU+CgH0xr4+DrS4+EXv6d/HjQa5JGqqTjCmel5+79dDqbJKlDUp9vo+GIF5fCg
UWXJqwjrkS8/vsAoXk2CYnzAi5OAisjyeZKO8roQDqeH7QlwJuoqdCGgzvWy9F9NxWPtR0ZSU7AW
j3ISlMPvTJOUWiVyQjN87ySgekpobeI4f6yxo3I4zGZ80BCpEHJtT5uCbfZqJZBFiAibbpWnS+kI
T4bDb0sdowoVLQ8dCFe83kZPrASRUdNg/gRGHmv0pBweTZsf+KYBkl6m4m3gwHqAUY1Dh1D8O86T
4fCskjXPLWHBEHvaFJw1rzYFxyOEMAUZgqej+Pg2hRB9PPCOIKukIY3g6CljEJD+60mQP/BDVPbt
p8TraDfFwdclIaQO6ChMMp9ee6bCFAIUMASPdFMIYseB60HQKlXEvPXf1KZIKVgtioKb5pFOwjMG
dEByqZkfKEoBp1jPYMPb61LYIZkATtTnjnUSnh7skElgJQiRFoN21b3XJccj0rJsBnGRHuUdIUzR
D94OfMusA/v5UHi7ErgoHRMJXjS7nmbpWKfi6dw+ZD04HxQRQlsIoT2+3k4FgsRE2YioCSzmKNeD
EEI+cD1oHI8yEkXPcbRA2F5dl9DS0VSnUds61pPh+dw+YCWAvXE7CGa7+bTmf4Fc5A8G+vY6+cSx
roTDTwY2Pn36YG/PhRkW/auVwB1BqMAsaUcLSB8ePZIxUYf9E4/+BYXleFRRB0e64Gi3w+F5hPmB
/lNEIOVnDssvcSOqDwaWakgYHul2EKDpgQcjK4FuWZ2M8TfBM8wFYmeZm/RIJ0FYmR44CWBNBu1I
hI5PByOL/vWZwMkpQzZWjpbN9Iz/HHA7aGx5JEyhMz0Hz3u2A+q2OtfDsabVoi3swJWAdZ2ou+Bp
97QSfsGaYPoYmkx/2lNMcnzYwnON4JCVYH/g5BfT8JxL7lsJotmOLs+n17GeDIej0EgJoylAyvic
JvwSLYiYSvwPlFa8jnVVaIfHDNTjKNTTU/IMu71dFYTQABAyK+dYl8NTfnPIziC3JrPWcT7+zW2p
MAfAs45z3Kjbc2x7yFRQr6Pr1qBm9+ayZB3gkm6zUJ5v0yNdDsKJ7sDbgtQa4z1o0M+5xNupgPtq
ElewHo71ynyuIB6yECy4K0KT7OXr/uWIJIJUUVFxhNsrE358V6Z+eFap040H2M6t+eeV+CqCFIUZ
B/khzAmP+soUzYIHbgr7w7MEz+/SqseTAx07QQ89zvXwtFAP2xSiIEmF6neML+XDo7SQcbS0N/3w
4Ak43tIRU3jBm345HuH+gTLQ4Xqsx6N+cG5JdQrCO/ch7qyPL6b11ckAHM9lKSNqcbSTcDDUIlh/
mrCAfemP+CXBVpHRhN5DdeZIzwTj6ds55EwQQLwCgQlUbf9KoFOGmrXNajnSSXiGPw6ZBIE8klkK
2O3xxVH7djtgy0PR+mihFuHzeNgVyZkAi82E1fKbaIEzgZYq0CblKc841sDpmbh+yHqA0aLJ4mP+
pm4tkGhHXJXPNfLjix6Ng6MFQYKF10M29Rwc7gmhBQRL8Hi0K+HgO0Kjf8yC7MfnfHskcHtg8IXi
8T/49P/GOvmz99gNwuT+sTUZQ8THTqenbtN/+QsvPbm/DvBTz+1j5/Gr37wei4ensZ86c8V//8/t
fRpm87BuqvCuUR+zpJ9++pI1Pb7T898/f8Rf3/zVm718rpd/XIcP1W11h+btY1fw84Oe3aZ0OP9v
wv/d377tGBZY6Mu/iff+7/96/bA/nYd/Pzr+bw8vA23u//u/qDloAih5+bdDBk9v7/PqZaCfBmfN
/DWP/8cnnyGJuO/BieUOHtu9TW47vpL6Zayfnp044PDx86Stf/lKmXWyr3cYPGuq2z/cvG72vQU7
+eC3mD8kf5zl1d75JyY7ePxF8sc8r1g8L2P9NP+cwwePv6wwWd03ONnQwYOvkocsexnnpwd/j+26
btPveXLf/Dq8aPs4+NE3afFQhbfJy1B/Pb1oJjh8+GzcM+mCl37w0CcP1Z45F5yJw4cOM3/PQSCY
wwePfXob7znDRPvpOwxd1w/75uQ9NuhpXv/xv5n/kDzsm5n32KK723sO4Jd5+GkhvscW3d1W4b6p
eY8tKsYu8n2nu6DQHfy17h6y+/wu3Hd6CTGHdxi/unu4fxnor3kXrX+HD57z7C/j/DT2e2zTXb53
Tt5jlzJ081A9jHue/D126tltsWehC+jp4Ak/e+huf40dcWF9jy16Xt1yBLw85U9f53ts0Yvk9u5h
T+woSukHT8tF0qb7gjvtPXboVUjoWIf3e2ZGkCYPfviPt3cVKUHW7LlLtffYpR9vsz9mDwh97nuD
99iqT29QZbfV/d6DTBTG32Gasj/m4YO/70O8x64VH2LJDrgL67t97/Ee21e8xza/Ldt9t5X2HntY
vMNpG9Z/nH8P62Lf53iPzSzeZXfbPOwb/z32M+M3t3/Mbqvvt/tiBlFLfI/1xHu4qGnvOaxFGfW9
3qFqp5fB/jpTReXn8DcIbvfmhKKicvjgYBh7p+ZdNnNYx+GYty/P+dPEvMte/jvb80dI5gAU5COB
yW9tfA8e/F9Zuxz8BgJm2XMPC6bGwWvm+iG43Tc1As4/fHBi/LDZE7QJcPjw0f9OV//QSb9uAYjS
fbicQNwPfvZPjNDu26tCf+/g0f9GQvnQefkbw8C/H3ofLPsn6+VXsPZF2HDfn73GosVv3CUPt9X/
/D8AAAD//w==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Customer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Arial Rounded MT Bold" panose="020F0704030504030204" pitchFamily="34" charset="0"/>
            </a:rPr>
            <a:t>Customer Location</a:t>
          </a:r>
        </a:p>
      </cx:txPr>
    </cx:title>
    <cx:plotArea>
      <cx:plotAreaRegion>
        <cx:series layoutId="regionMap" uniqueId="{85D136DE-658D-4EF1-B896-CC35EE49B7A2}">
          <cx:tx>
            <cx:txData>
              <cx:f>_xlchart.v5.14</cx:f>
              <cx:v>Sum of Quantity</cx:v>
            </cx:txData>
          </cx:tx>
          <cx:spPr>
            <a:ln>
              <a:solidFill>
                <a:schemeClr val="tx1">
                  <a:tint val="75000"/>
                </a:schemeClr>
              </a:solidFill>
            </a:ln>
          </cx:spPr>
          <cx:dataId val="0"/>
          <cx:layoutPr>
            <cx:geography cultureLanguage="en-US" cultureRegion="IN" attribution="Powered by Bing">
              <cx:geoCache provider="{E9337A44-BEBE-4D9F-B70C-5C5E7DAFC167}">
                <cx:binary>7H1Zc9w4su5fcfj5Uk0sJICJ6YloshYt1mJJlu1+YZSlMgnuJMD115+kJHtUrCo3dcJ6OBW3epZQ
kwkm+QG5I/Hv+/Zf9/F6Vb5rkzhV/7pv/3wfaJ3/648/1H2wTlbqKJH3Zaay7/roPkv+yL5/l/fr
Px7KVSNT/w9sIvrHfbAq9bp9/59/w2j+OvuQ3a+0zNKP1brsrteqirX6xbWdl96tHhKZzqTSpbzX
6M/37iqW37Mylav3m9cwXMtSXa7euZnSw/9Wqe7ev1unWurutsvXf77fGAy/f/fH+Jlb/L2L4RV0
9QDEhB+ZiAtBCBOPP/7+XZyl/vNlA2F8hAjlFkNw5emxF6sEKF/L1yNXq4eHcq0UvOTj/+8ZZeON
4J6/Jn6V++HrDKj4ANCf7z+lUq8f3t3olV6r9++kyh4/X9m52fDqn24ev9Ufm7j+59+jfwFfb/Rv
XkA//tT/dGkT3X9A/q8YPvTDW4DOjrhJOeY2eQKdbYOOGabMhun0EvNXcLQb7vEAE5AekxwYyLN1
/O4iAxHz+9c2RUfMoozhYYEPvy2Y6RE2KQGYRzi/iqndSG8PMQHrbaIDQ/uvOJfpG0ANYtwWxLKR
RZ+gHotxJI4Y/CyL0fGSnsrRbpxHbzQB5BHFgSF8W2VxlbwJxuxIcCwopcJ8/KGx1DaPCMcIcUw2
MX4NT7tR3hphAs5bNAeG9F/J6iErf7/YhrVMQPWamMNS3bTFTFjEGAtiPs0AmAAb2nkyQ7tBHr3Q
BIhHFAcGsFPpt1DLRBxZCBNq7pPVGB1ZFrURwiOAJzO0G99N8gnwbhIcGLouyGn1Fsa1AKNKYAK6
+ElMg221uYrxkWlyYgtqba7f6RztxndEPwHgEcWhIbyKV/W6XKk3kdFI2BhhxvaAbB7ZfJgG1B6B
/Bqm9uC8NcQUqLeIDgztefxulpWgkt8EbYaFbeFnd1mI8ZIGxSwEgjCJ/cMye6mYX8Xabsy3h5iA
+TbRgWG+gGBS+haA20eMINuyEHpyp8aAD+4Ut+AfNJLh0znajfOIfgLII4oDQ3gZr9P0DVY02GDY
tJDAIJ7H2hkJjhixRjGRyZzsBnaTfAKumwQHButxlXzL4gf9+5GlIIq5jSjdRpYeIRsRE+KeT4t6
UzG/hqXdEG+NMAHlLZoDA/okydelXMW/H2iCQediblGCnkwwCHpsrGRkHVkgwi0EvvTwGzlTr+Fs
N95bI0zAe4vm0PBOu7fRx9zEILHZc3hzSx/zI9DUts35KEt1MpGfPQi/pJ6C7sv7DwzZs3X5ForY
OiLsMRbytEiHVbq5isVjghIRDNmLl0b1VH52I7tBPQHZjfsPDVlIdr+Fj2wfAWiQRqTWXiPahmsQ
5hpDO5WhPdhukE8Bd4PgwND9sIreIuEEyxI0LzMhGP342xHlEshCNmejAMhUfnZju0E9AdqN+w8M
2fNVKfPsTWKY7IhyipnF8RO6O6SysCnjGCbA429TNr+Gs904b40wAestmgPD+8NKqfUb6GBwmSgk
jrl4BtscW9IYgplwmXJ7JKinc7Qb5RH9BIxHFIeGcKbe/ZX663j9FvqYHpkWxoT/0MdbNQL8CFMC
uUcQ68Nv5DB9eB1zexDfMcgU2HeQHRj2N6v03TlUqr2F+/QozhmDCpEnab1VCISPMOaICjrC/FVM
7UZ8e4gJeG8THRja56sHyEy9QVTEPoK8FAQv2XP2cay5QZabNhR0UgQ+9Et/ajpHu3Ee0U8AeURx
cAiX8g2UNYEqIEYtgPc5GTWW4lCwaxEEqlqMQiGDeTSJoX34viSfBO9LggND9yZLs+Qt1i8/okTY
goFl/fjbssUg7Iksm8IK3ly/0znaje+IfgLAI4oDQ/h8Xd5D9bj72yvu2RExbWFz+zkNsbWAwRzn
SIAVRh9nwEglT+drN84j+gk4jygODuf0IbuXb5JGFkdgU0HdNXtOUWwpYwK1QswmZCjN3lDG61cw
tQ/n8RCToB4THRraGYD9+xc1lNpDVa6AYKb9ZGFvpZXNI4tiqPhDo9rc86kM7UF5g3wKwhsEB4fu
myxj8IuhcP6nwN7aRwHVIOA+cQHBsNEyBithymTbh+0L6knQvrj/8JDV63LdTfmar9wBZx/ZzGaM
mPssLnRkg8Flk/FuqHPYmTeVp70Ib44wDeVNmgND+mKVv41djcGoppBs2mtXQ10IFGXzUd3PVH52
I7xBPQHdjfsPDdl1vXqT7Ywgfm3MODGfYx5bPhOCHDKUW1MxykVdTOZoD7qb9FPw3aQ4MIQvyxVE
r99ARhOo9YHyWm7v294GO1ot2BZjj4PW0znajfCIfgLCI4oDQ3gIzH6opHp3+U2qfJJx80p1bB1h
jm1YrvxJUG/5TJCMgloR2B0zMrb+F6ztxnzfQBPA30d6YLPgKl7dr99m6xtY0cNKf97iuEuSs6Hi
Dz+5WaMpMJ2v3ciP6CcAPqI4OJwr6JLxBvJcHAliM9hQ8Vxfv5WQMo9AAIA/TUb19VewuXYaR/sQ
3qCfhPAGxYEhfC1hh5SSD2+jtAU3LUKeK/u2S/sgEgr7p6D8a7SMX8XUbpy3h5gA9TbRgaF9s7ov
oadIqt9CcfMji0ETAtDbe5LMQ4xs+AfKPYffKK79Ot52o75jjAmw76A6ONzToXlQvHqTlDMsYyga
gULAfQkNdAR12Qj8r5EwB2vpNWztw3x7kEmgb5MdHurvnDU0QXqL1W6Dw4WHfex7inthEzs1sQk7
cUY+92AiT+dqL+bjMaZBPqY6SMTLdFU+vE1CC7ZQwdZ1xMlz1e/YPkfsCDqUmGDDbwbCn0B/DWO/
An5rnMngb1Ee4ASYybX/Fiv+sfCAWbDnarxFg8HGOsJhVjzLgm3sJ/O0H/bNISYivkl0YGDfgSFX
vYlGh75gHNa5ua8p4JDwEuCF2+aoxugVLO1GejzABJzHJAeG8k2wepPOj1D1Dc3AYN2SfS0sMLST
AnEP0bjRgp7M0W6MR280AeIRxaEhDBbRAiLn91LdZz8+9e/o7clgK7RpMjC+f0bLNvbWQakghSan
Fic71PVPjqaEf/YA/fLFfg4zBe+dhAcI+2m2KqppVZmvDKNDmSgUiVIMAD/+xpYa2OdYwN48IZ6S
ZlveePruFcztx388yET0x2SHhz14vs6q/PY2LjkdFvZQA7y/f4ktOKEI2lA9/n6Inafevk+O+SvY
24v/jrecNgN2EB7kHHDLqv8pGp9KAH+H6IdtAIwiav6oRxvb7CD6ocEgaIdxSvw5JjORq1/hvvFm
k0HfoDo0xOW6fBN7HbrZ2Cb0/uRPkdVdG/jgIggEvlvYT+ZrD96b9FOw3qQ4OJxVJLus+v3remjp
TMBgwz86d4PhNjbpbOgDbMEen5FIl9N52ofyaIRJOI9oDg3pLF69KLr8ffJ7KDmFNPhQlvj426qC
APlNBSznrfDqZI72oLxJPwXjTYpDQ1ivUqniVfUWaXAG+6pNaDVm72uiAIVr5rAnl43iLHCmwSu4
2oP09hhT0N6mOjTEh7a/b1HcArtBCMbQNPTZKN+yyaDQeFj1W2WKN5M52oP0Jv0UlDcpDgzh23Ww
eovNexBSg2ZjNuyy3+N2gdUNHWEhJYaevPKR0z2dr904j+gn4DyiODScYQMqHJPzBmYYNBmE3kYQ
YHl2n7fqlzDUL0F/SegCvWmG3U5naQ/GowGmgDwiOTSUK6hreIv6JehfRcxhpe45b+ExCzJUNlgj
W/t2Mkd7MN6knwLxJsWBIfw1i98ioQlnpjBoKAjrdOxEgZfFoA0KtAvdXL1TGdkN6wb1BFA37j80
SKtvUJD02/dWDxtuEbT8hK14j7+trmRwtAJ0JOOQ9xohO5GfPci+pJ6C7Mv7/w8g+2sWN154ONPs
rx/fdkck87Xn00FBCZyFYUMge7cjDELYRtAtAXDfFcl+ebLeXu/86XC/7bPp9p3K9/SKv/4ob3Pa
3P6T6H4e8jdb6dX88XjAF4fR/frq46SGsw1HpM870neC+PQtTx7+fG9B0ccLUIcxNraybyPwX6o1
pLb/fG8gBHVFQ18qE04is6CtOgzYrJ8uYUhlDPu6wFHmMAuGBkUpHJcW/PmeQggEDbtyzQF6OOQM
/CmVVcMl6A0MdcccGtRB+hqcZ4F+nt94lcWdn6U/P8jz3+/SKrnKZKrVn+8RPCN/uu2RVdMSYLBD
K0MbojEEUmqgL/L71fXQNRLu/n+6J1leVFV7kTZEzOvGC3InIyGL3Ig19UfbsLrTsK3TaG6akf6q
M1p/iqhqC0eJtPj84uvt4gZsyzE3UGEFnTWhPwQc4jfoqJfc0LTLIxFU9QUuUnThR33qORXL7MBt
a50Jp25o9ZXVuSGdMuG6cIuwjHzH6xWjLmy/SB+E1uYljBFUMxzH6FNvGRwtO9vy1qgzULv4NccY
OpNscQx7bKHBHOQkof+2OeJYsgCw7fQFaS3fn9ltH3+qIbpFFpp1meXUXYvCmWQed3pmd9LpIpMs
k7rs0KysM/0QtEohVxq5NVNwOGft6CQwa4eVVuTP/SwMrqJKnCZKBGoGmkHcqaA4i+LGaudSGfa5
LIM6Wf76rbZhgI0oJrSghuPzoPzp8aVfTArWGX5j5LG6SLUn7jKfI+zQCMPUyNOqvWraUtzkHoq/
/Pqxw1x7ORehLQgcxckIHC0CHYAwGdh68VjLbH2aKz+9SHmPLlAUVBepKl3JveDu10+C5bP1JAEl
nAz6/oFC5aN5lqe064syyC54btJV0WRlvPQ077AT5cHcLKq4d4nZ8cwNidUk/zRphkmx+aIwUaDn
M4UjVKBt+/jxEBmVgZ8m8oIVkbVKwspaRfHAg9Unam6XWeZ0JkC/bOKiwU4RZWytY6FOGtHRD61N
StMlTZhFbsjS5BMpc0xmAe+6dW7U+cw0+oS5lshoeWwRu6+cX3+94SCIMf9sEBuQYYWTNMHO3ATK
tCsrtSzPOEeVl6xkqZXvICPSKXVI16X+aRPI6JvPRf6h7YtgYWe0lS5GNfuuWd9nbhf4zKVZWK9l
SdhDbeUBO/01k9TaAplQApNocGOhVYnFwCx6OZ3skkuzDDQ5D2mRe4LPtAj6ZatbIha6riq3bAvz
Y510VuUEQcDcEqVLhct8GdMcu1FcJNd5bCWtw+LG/9yESXbSKa2d3CryT7aK+MwrUs+tsjCUjtQk
bBwvVOlFkxvqsjB6Mvd9JELH6L00cXEdJMeWreNrHPpXfpeS1okrVlxor7jVODHIzK4xfEjZYZAN
tOp7x2x4+CEOLP7VMyt6Gtgcfej9thZuYwY0gTOQOnli8LJLnKbj/Qw1ljHrw/Y+V4W+qUyDBU6T
aLbwVFGdUA/j2yJATbT0mIGk0weR9w2K38vakWlh/F0lLJnlucInUZbmJ6gQ8YOscxvWPUmiGym8
ljl1Qf3T0isrt4PvsEQUi8uiSdo5bcpigVCL6nkMZ+76bt34vHBrHHjzRJFyVuXiMvAM35whlOlj
UDW4cVMztB2uWfylTczgDJciv7GItpaVCA28UHbSr7idlXNltmG/qCPuL4y2NVdYxc135ee55fZY
m5WT+rj2F60OM1gcTTPv/LriizLzglmsSXKcwq0OtH4tM/jQSc2cUIWh4TKvYQ7LrLZ3qI49l2gj
TZalHc19WnXmx4YgCucdl2bshDCT9ILoRqhlS1j7wY76PvY+Vk2hk8TpZNyl5UPgBRj3X1VjtCwJ
HFGCKM/ucZeEmpRwLllV5eaFjnQStadCFv2yFpX2TpJSytwJcZzdmMwgJ2FHSOVWgIHndIUpWoAr
4XyWeh7oQx1HTTG3o8Y33TLWyLsMCtNm2XHUsSaYdW0s9AdbaQIzqvEypBq3Al24sI0g9C5rWDq2
7xY85zDhSKSSRRrLUjhxAcrLm7e1tF3DA8vVcjrPTCkc4ewliRuIqvEWTcziZK48sAoWVuonvct7
CyRmiiNauUlQGrFTq85XV0oaSTLPfMm/G1XNpDkzM6yXkvKKX1iG53unKWGaWaGbtqrou2MF2b8y
mOd+wJK5p+q+WIhSpXLRxXbSHZtKJblr4S6WLmutLl6WspCGC7Diz0ae9GgGm7aiZAb/NY3LODQN
BZ88TT+HSSKSE1IKHc+jQNvXfaUJWYRGhtFZ0ASKpQ4LcKCXXlnn6Q0oY3Ia+j2OFlUOHMwzHfv9
nKO2Fy4Pu7w5T3gHU9uApVLOPISq05JYVjzzPeJXM5bWAKdkCuyTtA9Jv44j6I4248BAMiNdEhQn
yJT02Jcssl0cRQWZyUx6s77yIssxmjIXV6HXhNQlsgh7J8nD3jgzvZguUO75FrArWD5HXdBnJ4FE
jT+PBA0aZ7jPQUKKFKaPTwq3baTRO7qVxt8ltPnvDEfCOsIXqE9lLx1eU4PcdnGDqws7F102S0Wh
z60qBZXkKxYBgUgIfC1PBij92qM4DU6LLonbhWqsXp4h7etbGmJrZbVe4jkcweRdVGnLyFzZvQTm
KxQms5gUkXJ5480lksXXuGnAsgj9sL5Rlt18y8uAHNes8b05jywTOyn3YBwrzsJ2kZY1uujbnNCP
SlvoFmkD7mhsQ3FXo4618xonoTwuW4ybk5T5Cl9Kg4m71CyGyRmGhVqyWAXqqu2o5q5ZNIBN0KTA
WKZA6J6BBhN3hJswuxOQkuUMepm12YlWwsNXYVlF0TXmqaAnLQ2b6ly3ejA+g669siLDbudZk8Cj
s6zva6fFie6XZsSGlx9Yb0A+AV95gi6olcJbVIUFnyqIsqh3RVTD0sljP5If05LBki8rsAp8uAYy
Fes0uCwQ7crUIXlgAtxN2VbniRHkypFmVbSLFnrAkHlXF3gQGrCYXHgjECCtQIOdrNPkzoNDwE55
LSV3eGBFMC863141KQE22jLsroluTXXmg5kbnmV5GoU3HLTFUqUmuiiEX3yFbTF24QQ0kPg0476o
zrwg8+tZV7KiAQO3I8scw2d1TVZ091EcWVdtpczsuDC7Ovrc2ImvjhPPSL53vRhkiCziYAZ+ACdz
ibtALXI7EZ8N00sWSZP7hcMoiLmubIJrmWl1JpIotGYWLrEPYg9OiHbqAIu7MjRqfx7jFJZJb3hE
nNA0Q8U6AYHcncKRSLA2mkFiz0PLgC/a1n09ByXTFGeorLDteiLWNWhaUptgehfh36Woxa3RgZl+
2gtdoget0k45CUKsPpENhqHaBAW9Sxvf9k9ygKVxjUjYiz6ra33ediy+CWtVOJypY5q0tXXcNzaA
E5lI9cs8jrLsPLVb+sHQJs3mQZEm9ZnfNXngckslwS1YIurBFCmIERCdqnaiQDXKEU3NC9ACXXET
+wWSX1DWE147PVhg3adcE0PAYMor5wEzIv/U8PLmW+CbRu3GTNnRiRQm+tgqw+uXZVUoOZd9BZNU
Yh2SqzaKe+sisfM4doq8Nu1zigLauh1YN2reBDmg1vBU+k7ZswRkh1LxHLWkLWd1jHm57HkBsz+i
rc9mndeZyvVyZRefG6tDt2FQwlwDTSfuYK4n6ioVKQIBi3MRLngS2I3TVl8xrxqOnCiq2ScLp0Uz
ayxf03Pqxby+LjwlSlDuMKPnuSSAJjgOXftBEh1lH1iZB+QKt2Zsn3htJuC92tbwz6PSyJtZojyQ
GWCNVfo8jj3gvxSRv1ABj4JZ05rmSVdQWPedbTPpUC9g549W6XPs4urJyH9ywO+zvCulH+jRn/+5
zRL4z78Hmp/3PIYp/vvXubwvM5V917+8a7nOhppGNb5pY2R4+jN3Q/hi44+tUMqeYMn1WlWx3nNx
fyTlZ7OhIdIArYmIZSLwhP54OdBGOOXHgVE/QmybdD8CKphA1ARKwuzBtId2sPCYlwEVOJjBgidB
KpINzcx+BFRgy54N0Zdh5wdUjSMMLs1zQAUym7BhF/yYYVTokQQRmh8cbuAJQaTnv18GVMauEUQt
CJSkDw2nxdB3euQa6aprCjAmm6vKPPVDF4Rqpv7BO4dKxw3/C94CzndjUCMztBkAk3/I0bz0bJBR
kjCMVH5FGhGayqGWiiInIDglV4FZFvWsyOw2+thn0uYXg2/zpfQZjj7CnvbODcykxafYzl0Fyq0I
YOl48dwmct5L1DlVT9yui688cCXizACXRxwbRXajzdx3ugDN+4Jdt1IdgwRKnCABzSw1mlm0OIUl
dmnw6FvcRSvD88Dgz0/COPzS1SFyexlc+lrNOY5PWACCEbXl97JiIAplM4sLypayACVoJCh2QDQf
F3UeuRULPzF+XBDlwut98W3zBERi6BCUnxZtuo4hMOJ4LXXyLll7uZk5PMm1k5ktdwpVLvK4+uBp
1sx4WhKnbHDk5Mz81qr0lFAjmSGa3tbIPwXX6FPZBrGDpf4cJZ1yg665VzY97WiZLoowP0+DtpmJ
gpGZJT3L9bLyBrKTJaioTM/9jpwnflq6WpGPcSN8t6+rL0ZIFn0DugKaWicOx/p7yIrY5RJnDiuy
qzSjZ6wp6TynhXTiqAiPbYiCOCDFfbcNq3Quc5w7qOaRQ/P+MwIXlACcTlYZ11ZjpE6C49smEbkj
ePTVKErq4CY/AZ0fXsS6QW5gRKfKABViooI6iPsffH1PwmwhKtuVSYNd2hbKFXH62etr6noFT2eZ
j05LXpUzXbNlz6z7XLYNeJjlWcXoPQflNOOh/M4TVrs+Bb+z0OLWL+zvVDZgVsm1LKzGRSo8DnAZ
zFDL3cxPrmqsvqEwBIeFasMhUXoSSzDVaa0XkoNPU5GwdqnSzZwapnCttLqqhPGp9ivlGrE+CUhQ
zhENbvxWF7OM+ZWbemQe07Kc1z6b9xngJ3h4g0ntRnUARpioP0dmbzuys7+HofjbQlEGJh8mC9JG
nmN4QXSeJnHp+qHMXZArn3zQqym18tMgIpd+zNgsyMCmRm37dx3GMHuaoprzBr4HY/3XyPZu7doM
nTpM1xQ19qIuzU+RH39SMsVOa3A5q319njDjuzb4V4N31LGjwIVSSFXMWg801Jz1dobnmnTRSY5h
9s8bWhbecQ5fQ/QCFbeW3/SOZ0cwy0UcfYIIojix+ja8sklzWxT42OjzdaLSExnlsRNn+QPYfIV2
mPTnleZyETX6rCpl+JlSPYttL3aVfZeKebvsgi78kGTgqRjGdVmFAiIJYVzImZeAn1w3/MxgbTYD
rzxzVWxZTg/z1yf5ss3IOVVW4rLSWBpMuTmsTYcE+YXK2JeAW2tpQpQYNGbh0B4tkjh366A7g9D2
ymirs0bL08SqvvoVDQeZc12maB7m6DpD5KRBxnXXsZlt+Hc4sr8qbs0yZJ6Jxr+CyPgVeE/nvdKL
vorAdOseqhpczoCFs0jpaA4GphsV2GGq1E7IrUWZ1xeMZfOyiGKH9P0skFbjZKIFf5sbjmcYl50u
7xIpormHFYTvgwUu2s+GWlsVzMTaZgtCQ5a4XtrEiSO8RqZuWHWGMTfrjt0xv26XRVFiN/Rb7Fo8
1/lFRMiXJKPGDcTA5qxOwVOPQ5BbTpTRvHMSqydL3WWly2MwNjhJ7qJCLUrdfGma+E4VxlczKclH
s7L6K1B4xaKMi1WB0UlQkofW45fgL1+IWPizNOHSsSJwfmVRc9cIY7lI+kTcUnBRz/0kuJG+/y3E
peE2URWflX3H5nmiCbyP2blUB19TDCg2wa2UWTgTxDitavWlAtPyhhskWXiGUk4O/Dm1BN0D/grI
gMqI7Zmq8v7S0Ny4tUPSzbpONHO/zKwUVrn67AlVzahmEPlKKz4rYj2jdl0f10g3Sw+XEKpJsm7Z
pGbg1nEuHF9HEha7tI6bWKBjFdXgW+lrRQO3sNEyrGntZIZ3LyFJ4fQ2us2t7EuJ2hvfKu0TQasv
mWgyh/q9d/HCFtmh2TeD4o9KdzgnZtC4mEOP+pFmt+Mqh+5eRXWV8WZuo8uQ39rAtQWRp5B+/vWz
Nq2I4VmQ8oHIMEJD9wnolr2p4JXKWo0b1Vxxb+5Fd0W3CIx/CIH/0yOG6y+C7RBZjuOmipurHBZm
ZzAnqP+m+c3/4j0g/Aq+J7SvgwTY5kNUEEVtmDbNFSlvi+xDa1wY9cmvH7ENC3yqF4+wNx+hK/BD
EW2bK8pvkmLRJ3oOVkjKVmH3D0/ajCc/g/LiSQMnL75YHNRWYmt4maLrHZTaboBPq+S8qed1cton
/T9E2QfG/5skeHoc5CjgEFATmmhbQwrw5eO0H7Z9qVFzFRdfkIYgtH3rB2dd8uXx+/1uj+T/mq8x
NFN8MZG2Urd/xeA5PazGrsYT2U9XY/AaIAvLIXzIKWEwfX+6GrCDmIGuAmywCU4IXHp2NYZTLMA2
h/ZPFMohIe0Ll37kbuGwGsATqjTggDHoFoTxa1wNCC1sTBELnABwMmzwMhiEN+G4ulEai7d+ISoe
VJeh1PkpjwU9L9P2jKdx4VpVeWcnyawIdXScZizu10EGSuVj1XUQT+6lC6HM+KMI8tTRUfdR+/Q0
U0m2KGIlHdR3kIOMkLGUcU3B9gwWPlhUJxDoNl0/96gDoQg/cEVdpIuEgZV90/n5VxF0mWOA2+Iw
iDaGbo4VPa1boz+18rQNPLfjnTyt4mjWYc841kb53RdpD+lP01t2KINEDIrESVz59V0uOD/D0o7O
OUkhzyBv8grMizlPOnORo8GwKg1zxmoBBivpySyOJXawLSA0gcRZxEo9L3zkWhrrhdXmF9wCi7Am
mVjUcd+C7achfBmkzXHZqAuklHB1WnwtG/9Dh5p5YHYzrPC5Sf2zpteBo8O8ciQ4PWAzcLepVDVP
AWHH9ww9h4f5370ms//u+rD2FoVVBA7kXyA0Hih0LMrqGuzJGx6aaXWS24GhP0qUFseQQXHTIrCP
C6tT6Y2tTVE6QeWx2iHMo0uCmjp0LM/6HnlVczLszFlWaRTN+iS96kJ1YdP8NI2Di8LEZ1wbi0w1
p0Ziz7IewhpF6phh71oyf2hSfC21+Pr/hcdjoML8ZaDirziX6XosOyyo4oF/t3qu+4CNaxQTKJke
2veCjHghOyDiwKAYxLKeqjtAUP2QHRyaB8IPWsuBwIeiDAhu/JAdHI4chSMnoUsJnI4DkuV1dR9b
2VHYaIUhw0+G+AGFLD886aV68UvWhCHh8aWBiq++1BC+reJvqLNOYpSkTmj3riqrObMSx6zZoif+
B9EVFw1PIOTdJMVJIsH9r3zDLVmFF75lLsyM3DSyxnPOssqt/e6DqT2w4QfvAuk7yXHuxij+EFjg
Q9RGeRxHapXY4O9WiD54WIITYSS+61vtWcvrh6hChcsjWIgghed2V1sO6tJ+boLhOSsTq51BpFC7
rBKVSzvTdnWWdos0665wZ1kz7MdnVWsRB2KFXwjkfWcQwn3ITPsUSgLyGUQPcsevVeQkPnGsANLk
KRNX4HB9rr3eh1UuIaYSGI0TMw1/2qF0ez/HTpL4nsO8E+LrRccyzykgiApud3vXB/65ZulZ7uVn
AbyTk3WyBBcdXzcyAj/QT+ZRis89hG+9LtYgh6rEgb5zUPShasgrRwZ3KCXHCemk6/H8M7fAZLfN
zq9816oL6d9oHOZ/Q+birutpc6a5usyJVssYNZCeLMq/Wx/C02m0TPLGdmhlgSncgEyuiIedwOPn
gY/vSKGIU0mI1UBr+HkUVf0MW70/7wVkBvxSgCeQVdfECB6s2MuWkCVxEeQ+zjJ7pdsVJIgWNLdX
qiPZsirNZVwpf17mTZLdCRSkN7EZ59Fa+v1D0wbXPTFBPFZ5xpyoDDhflSi88GB+n5g6NY/Bzs0u
cemJS5p46rQT/8PeuTVJauPB/hOxgUAIeDwC6t7368yLonumBwQCAQIEfPqTtHfW4/U6Tvj5OPbF
693q7qoC6a/MXyYioTFWVhuyw9AvJXcLVyYFjZdrv1xxTpK6tnv4yy+2sWkocRD0Z/0Bzdk7uDqP
O96zqPj3LPb/+5CEFQu3/V8LsnBGh/+1zOFFP5c5dC3gKS9b4N7dAkAMU+wvI5IbEgw6+A/U2q1b
6aca6/4LMi0eBYXnikBJxz/8vsxt9Tufc00Q+Hi2TEz/zojkg4b7dYreRiQgRQywHDINlAK3+eMy
N7WzgUVd+Ddmpm6yztPRLrRLSelDDWTdTvveyPtheQk9jBAmp996P7oM8VKlweZClTN24aEvzoPV
Lm/c5sop3Z5Hazums5mu556ZlMY4yGo9vi9x86WA6AJr9L6i5b5ZhpPne/dd25a4PZeRxxiJMJ94
l6aGyZs74ZOpYp2ouB7gD4mnVZcvAcxvDhdxTthc3wS5fwNhKYs7fQpVd6ygGxzXSfTJWHkRNJV5
D1Au86L2B8a0+9HmwanJxR7uxHskFx6b9XnGYMcrr/a4D6OZM1o3qd+KxJ2xUIdt8WzJ+LWaof8V
VXHwRt3w1oRYugoQC8M0NIls/euq7k6qoj63ff+jmwoCfUsPyaqiG1n3bWLz7qYMpvY01wNMHSny
NKx1Bd+qz5PYzcW1YdpNARFAkevo+iPypup6ouG3VeLDbUVd3HmwjHhh+o8Co9BVqdUxiB1YNl67
7IvGRDdGznUWhhbf2lhQ3udDnlQ15LgybwrIcITt5YQthfVw3Ogc5ndu7pP92pY573KpeN34OQcg
orms/TxzF1UefH9WmSOlty+LDf1aATKxGUajqzX8SkGgYS5Y6aiRO+q2Yketr7K+Hrz9oP06a/zy
gnHuvA7lTdWQ47Dkayrr6IdYS8YhHNHMMdJPl3EpMyLCZV+NucrcsoBKTcmC+bGL90PJsM/M/biP
Pdh9dd6D5YJRfo/VMNqPbVBkKK4qD64LbX2alM+N7zt3CoXjvF7xTruZQepkLttFuTPAfLARX3Te
Zg7sd/hplTwFxth97hWPi2dux9FtsgKaJNdD+64VNB5ZMCAfXUxPbYxdIicbsrhuH5H0mq/WBOVT
A9aAmyJuDssIPtObc82VaMhNEBXw09tVwHML8Rn3zniILNbswlILImKU36tahphJQwHBtnYO7lDu
xkBlQjQxQCWARnUMRR10CtRyWo7cKW2U9m2tEjaV7G4l8105j/fM1lVmvJLIRHnqGrTScICh/WNo
1veBTMVuaMnIVaz6KwlzMvFnlqq+Y0e2WHFhTjjtI9HQe88Zn2WsByd1h3EW+8KbCeFybL9Z/FXh
6lSw90vFTVR0e0cuj8SxZDcXOUvcKT41tccyaxfC42nEqcUsMBfWFXBOnsmmcU4OdQ/S958mUw4J
zkuPdVeewrK5tRBMHSe8MsFXEXrnUbPpdanUh2XDZaaOwxtsk2lkR3sZQaYc4ngouewxkeSVe/Hw
24q2OE8T/dEB5EjIqq5c6xI+xeHzGoHDk+UaYaqov5sQcB7YnaMulzvwzpcxkADHisnfZEO9rySB
Tj4VQToveoa8F4Zga+tjYzCthcYPdhBicSDs6pvRyR/ULL66evzSUiwPkdtOaVj1Z2nJ21wxlpkK
xsVkdL4jI8GZzQe8SKHOlwZy7Epqrsx0ZSL7MiLnn4YOvY3nMOK6DptjFAT4fw4Q08dKTUk76PNY
ugd4vk0yUbErXd3dyHhYODwllztznA5z/2EgjPNggmJdeOwLjkl1kOlmvmq84Zum4bEZg1dYvcFR
1oSX/foOQA0Ylp4PeNNqV3gQ8GqyQhYPr4sSq0ysHe71NqliR/NJE7hf7ABbLy09CZhP2jsA1xfl
GcinUr0PUXwIG/+a5O3eod0+B36F7zSZFcF/D96KSMrEyPGHkSG0HDtkk16OQ02LbAxV4tDqDsiM
g71gTJS/nItB3dWxkxJZPCowwAVrDuGomnSs5aOSQwJeoeeNMCGvl/UggARKWEqumYFke3DJ3A8x
NgvHPuYsexN5JrqVdQXVnjX3roRX8s8Z8PMMuDWH/fVstNV+fj7T+M/HwM/KsX8fA7cyGpjBDGMO
2qPpNun8Mh8hTQvpCP3CeOrpdkL8eQxEuxkgGwQA0H3ymyX9n2MgCikxVcEAJhh2IKqyvzMf/Yle
R34AVTlAkdFVHqIv7Y/TkRnt2NVYE29cfdvnNFvKMP3lQ/kfqjne3x9VTBj1Ie5lFCSHGOzof6mY
zIaVP4bjeGNoeZLhs+PexMGdoQcibu10bchvVyNYif/tvyNz/P/4jdtf9ItM681RL0GoQRRrR4dH
OPzFfDHaq7nOtbmzvY5O0xC016wKBDdsx8qlyzoxiyAbwMpmGCTY1xkNY0fmQzFaupamxGif+1Fx
CbR6biKvStre/T451Y94dl6bFQEMIAbASGFmlXm/JM2iAgxbRZT1yqmxl8v8QCu2Nwu8GTyRzd/l
rdR7scyYrSCVgToafYCCmC1xEH5wbJS0o7yPpukMCAJusZwuTifwLYE1rnE25FhJUrrgdMvsnRAK
7LHjH7Qmt1Phcy9ix8YdJa/K/KxjggOg89Q7JOdT83VawfmEBUi71WQEp0c50D1toxNssZkXTNud
A+RxD7LtSo/h+hB+ylL9p0SlN7WKQbYqN/2q+5SyVtjXbTLW/axvVE4vA8It1029YgAzw5rWo9+9
V250YcxeObS+tKE8zpW96mNx7bjV9bKyF6JiDIWOE3MoJLvek9+QqfmuHB1kNqBXc0vh0fvpVLWX
QdhsHJfj4stbd+1gAnepnJeLBQU0RrAth7WGShnYs5ncl270Mkp1jsFvfQoURkNRL9W1HJvbphr2
Y2Svq7U6uboK+dzCw6yG3vJujhpupsrldFGZKcOnblh6XjpuvvPqdjyOox32Cm7hXSS75aIQ9thh
sT2r+nvs2BtaRPdm7AknhRogI/RgNuuTUPJ2bJwHOzVwdPC1aMydkYx5WA/fw2KEr8DKOy+3WTzW
EENnkkIATim2bhgdBTftlDBL97afdi4V6cAi7F1uqrV+WBt6W4uuSyzOJRx88HQ/L8U9E+TYY/oC
6vtKqyaZw6B/bF3HT0rZ/2igPdQi3vu24esqFKcuTUg1fbg2PzcjSzGdlglWsCPYSpb4gEQYFBEi
8ttCTlc0KKFc1vvZDTIVAjedxRnm1aEPJm7WIQ2Mcw2hPvWsc8RCcbdE+cCFBLLiY0PvYv+Z9ibx
cIckXdVY3gRqOVSYvY69anatzEcECpxTZdZH09qCQzS5lr0GWOemZTnhshZlnIyR9xaP5VsZRle6
UyWfSyCI1vQLF8bWSSCm6PDPpve56XnYhf560/t8ouefN7ztRT8FAYQWgT95MZ5nBd4La9MvGx7s
FOwCPp5V5zM8IAUr909BgOBFyJGEnwm5T6PlJ51F/gX487OCP8aWCKvlb+13f5ID4MnAfomx7eJn
wa/94+bQ6Q7kb4FQVTeWAbCiyiJKFoQ3xJNFDznQEc6aVa22GLFgbLtxiqkNN9oC1rffRW5NhgfL
SB7/sJE59E7ji7e2qksXx4BGOWe8aSNOBHMkyfLVcfJb3HMQqXDKK3DvktGbR4D8wQp+HegSeGoe
NuE2MwM5xGg3+DFOY/2CVRezquyKA066YKUUuFXuz0iFHToodMDlgXtw1lnV3+RUjR0W+MWGWR65
mvEqYqm7DqPzEWBe3v9z6f+m+eNi+etL///Ub991/+drf5uZfl773qewj2fhRhTsX4DZ7PdhDzoZ
FCgwiNs1/KtdGGHWi120MWyVGhCrMCH9LvnjATIBapTobzpZ+HeufQz6f5iMNi0MPKILQWxT5SJE
j/948es2WKtgEebGVf5jpc2DZ4JzTc1dNUOeshMtTrmLYzihh3JZyrSuKrETE7PJMI+Cu13b8XDB
XoIEwb1LcdAt2pBwSweG1Z7cDS6gGxrjZzWhLjIFmucY573H20I99CGovbXRESd6vnI6kHp1U0I0
WicnceZApMiBlJmaPAd6nO2u3aZ+xMNNg6twWptL6Xmg+pjXwW+D3OypcE8NrL5o0jZhBYSHtW8e
iyaCD+jUwN16c+zaYCeiIcepFDGDkNYfCKM9I8jjcOUFB+07D85aES46c7VuzP4a5O9YO0reBeOS
9NpmTX8syYXk/vepeOv9ZIhzzFgQtuw0Ipi3jhjccG5PGzVXqbeaNmuX8s2usDywYHwfB3siQ2t5
7OIN9ZM4mh70khO2fGkyZ72MAznNNPoalOyo3ZLyeMG5GOvkpc97HNvmmdMJw56eyU3FesVzd8xI
5OIr8UPDhzw3x7CnLkc85x5zA72LneLb7DV3polA5ytfJZIUZOd12uMmnMjOZ7B1WgFmUVV9mYrK
Et5jOMMKeFxGSXkAZK+Mmvu5MpDf15FknY88YWRgHLMYQS8Guj/Lu2F6yAcXh2ASv+SOLrmW7b5z
y5Opwkcar2/EyZs9Zi0+wAIopyJOtVeAoEPAh7e0PVh38hI2dCef4L2sfbeP/bpMKkEa97alQ/MQ
iQ6/uN/QI32z0h7Yj9VHb3I2Cuwt1lLzHuM6WD3yCuz1qoe2mDpQjlJp/Y/Zjh9TuCw7M4D06kwk
DsgMvde4RSGvekVSwV3eSTs+BF5uznXknqay/NKu8XntCHxTXey1dS7dsrTcuJG7G3JBuK6E5b0x
10O54vaZHotcvHcFKNXGR0qrdOoHsfoFn73xpfPDY9UN+SEK9AnurYIlxOpdBFaP5cFTX7gFDiMN
luxyfcDPtJduCiaENrTOhpz1yWdAZ+qRtCLx9uXN/pK4TLCUCPpidNkn0zqO3JimORlvnJPZgYBT
LBJ7hlEQZ2ejX3NX5IcGQ+htyQIIbT7Iw2Yhu2isnyNvLUFdFchElJD1PC3xBbVNJlQ5Ip9RSdzt
g3c0EuOnLlmR9t54dNfIPXZRcQyJUHuGv4V3zF84lsUBAC6CX+Wwct01Bzp0h9JhaalXsHjlACZA
OQR3Gh0S5HdmvtAiTOPcpAMlSGDhHyCa3JZ5zLWZnshcnoN+PGkfqBvtH6ZwGvlq6n3hiIo3tVh5
U5HraR6fJJgzrpbitqbjXZXb56iar0y9vhqBmEiF/DivdfmMjOWJzu5hMeZxiDDud2Pjcui8Po/V
fKkMWD2317t6iQxkoPlKgMGrcJzLZkuy0GtP3jg2OFGOP2ggvsqc3CDICq6pve3KEH7lZN6FwDlq
rNZXVUBDpV0UZQgZfTV1CCV7EWAJvPZRF/Q8O63OJoWrBkHrpXr2MZUcJGWNv0dBopcVGhHBQOrf
DuX/2Flb3c1fb+EJZODPjlo8dOB/bOR47X82cnSpbA3SkFiA4AGw+WUjR7E8elh+bsmboPNTtYkg
zcAEiwM46+h12IoNf+7kEHQI9Esc1n7b5f9WxgBZ8T/t5FtoPd6sLZhnjOLv+1XjiOtwjRssFDdq
kojXJn2n3ZOaCT01MJAQO2D101Lm2PRm5xI1ODeXQT2B7GVp0TguBx7+OOfDuYrmh8mdL4vAptcW
LOZI3iBCJVckU4dnWy/XYe0fA8m4DyuYd5vfPM8n1oIenwEByBXCQw3fwArcsSKM533v+z98nPNw
ANv4E1ktCWI6XtZXTsfXiO7GsowSqiC7xqb4sjDcD0bRJYOyW6du3z5ShhWNjg5AWljPPsbwZLED
mM5uSvpGvAAMTQePYYc2Biy+fWdjxUvR1WlAwm+4CyWIXfnKkILjEKeOPvjzsYPxgKznK8vpPgrb
NRHW3xVRj7Ha1AePTUE66ehgZjBTC516RCTn90WL93qYIY8VHQDb4Yt0Y5nUtNoDbDzC7mh2ZLY9
mhwgFUd5+z13KYR00ry2OkBIYVPZxTh8MOGt16Za3mQbiDMUeITNAyhSMBIyp4nIvWfCPqWIKidy
C7VpM8d7a6szCbrpSxRPyC6MqA7ZITKfrDSUGRWh3qnFB1OM5HIWFYXL83iF0+815mpxozmt0DKx
i7App0I5SzLAiMW2VRUwuhCnXlwpssY18ixdrfZRbIcHL5jWZwxkRapdRBAro9wrbFegP2xVfdE9
lk7YA+x1MnV9b3rS3RbMk8eI9POliwXUmUVpJEu6Hs4NpeVF2KbdErLQZfpVeRy6jHifI+lEiHQ5
3bHx3LsK8lRWFLZ9chd88HuBXpCvThnnP2ikxqzeGCs7LGNWAbtaakyAZiOxpo3JMj2yp4C0hmXF
p26zDvCWAcSFmHCcON143W98l9hIr9CdsCZv9Fe4cWAUQBjdyLAOUlH5yYoBGkO0OufVxpE1G1HG
NrZspRUBfA7eLNzIM/0JoUGiC3+j0sCn6Y1Ug6E3PccIaB+ZVpBuNqLNicC2GUBu80a7Ib+bzhv/
9s95zHURtdikg79ezB9HfIz1/6Kwttf9XMihRoAzAECNIpPPo9cvCzketoz4GHrSPMoAT2K1/n0h
Ry8tcr7E+y1hhp3h94Wc4fgG2Rzi+9bM87cWchbgJ/2XPI5ac4YqRTxaDGDoJ77wi1hNpqCvHV3X
N2tQYAwmmPZRGjNXuOwahHSmgFGsbOqKIi+6w5Z1cGGryXa4KUbn2Cig+ta7a4iTjD45WdO+VSP9
IoxKqgYZ1JVc8pge1gJqRuVoRL/C/AsU6LtJiCoDHfoWu4wltADUKMC3JyswonO94E5VCJtikhua
F+0X5xGU9QU54duoQIIi1rGLsC/Ir7h6R0PQzhfktoD22/ZY9BDlfLVkYlw37CYKOhTxjJBWK2Ll
zcj0d6ZxVAjmArNpESKDNFXkGCxgLobw6Iv60V/mj4WuV4bG70qYR7tMOi1VvtdsPDPAD1xP7CbQ
4UnBZ+VxETz5Dlov9PDVFmxnJrRZ9AR7jY2jW5AZUGT1DQTB69KWu9YhKOwIrMQ9j2Mg6Z2XGOgC
1yus9qC8FD3I0LVFTCWuhiPkyI7XyFXssDXWOyxKX1HpcBtM44WOkb5uuzswb7u6ktkSkhuge7vR
n++XzVHdOkH8nrz5BGu6cl7hYL6gCGqHvQ0b32SDg6/qd7mMT63j+mmNKAvHtHu9TPjoumq8c2cB
Yq1i9XNH4VubaOBDBKvd78LpGhntnbACfnmA4/kyTg/I8WT4Z7mTzKh06JrnEX+G6HBKr6SDY6TV
+0C6+Gwikmh3OXcTvgcUYIS8dCOFKT9y+bL49zLSZ2vFd0j6sJwZe6Sa3Tte6CfOwC5xDeBtDMIC
Z/9OwZIu7p1AHINyoPBGsCTPXfkIb/1b5EqElOu7uqi+l03/nMfY8AFL2yTHmzqgPsgmsYNaJKHn
PAk9DwkbUO5oSkqUlhXE3zFdY+RG1mrv0ulQeSAu0D60ZJ4ZPzBrtSllGAjcsH3Vus5i0m5kIT7t
DWBOcr1CTp4JlGbTA/aNIFSscLg5+oDaq3Xpn7q1uhftiFHELXucXXEqkTP6NeqxATrQ67MLcf5C
apAskXmVLLzA47pvJo3mCRnXiUPWdQ8JA9ig6O0uRqELmrO8r23TPUQTvvjA5ukSrNfuKL6LyUEz
xRTcx20EREccrA/OgQhxDDfoL8BFzwGi7+Y1UlsPDWJ8eYVjr4UVAaxvSpx1ecv91SSQ1HPkiPBq
0NOnYQK6UDGUQEBSIKqWNzFz93L16myp7p0S9gPOZlO+viEc/jZMyBDM02OlSDrO0W3lwciy+UoT
JOIwrkjneYkQKhxUmBXrsCuWiZ2kRLS/JUOAr31Cl4WzvOF7XU4If2W6bSnURsyXnkM/vNlcKde5
mkH2ZTKCwuEu65te5WFphyDRKPDA14UsIpTKkC89cG+vsw91aHXSmYEgEJTHCZBV/D0TDG874grE
v//hqRnMOmBEXlGMcZFy7rvR/TA1LgnKannSYfjU9t21QUiDe4R+tK17Ezp2Z8qZccdTdCMKvR0j
5a5w1/4iiLufG4pvG5/4uWvwpqsGVxOqQr7QWumddrAGo7cE4a8JoUoUrx0EZfNBk+WtY3DuYiyN
tJK7zh+dpCjoFeaRG6MArsDqjdJFgoUta8tzqm874+7Lnj62K9ZKTR5I3nmJXqMe587wLc/bE5Dw
k4c3l1rpMo5M0ZPDVpKIUnbQ0YCA9wEu6sqILxNbv/RDd18Ymh9y5SAmSDAlYYFDfc340EakTntM
LDD8dBr54BhsKBqe1/172SssFS3gD/Tw9Os+74qae9Q8LsI+V97w0nebfFaNL1Bv3APxLElBEBbn
1ZRTKtEZgeImxN903i1cIabXm/KhYT7gqlFDSCJfbDW7OEaXqOyARh3FFYCzlqECx3ue2J01p1W8
WnmmhX/XlKhGCNgz5JIniYQZI82wZ42+9loNDlgRc0Az0AfBQo9+gfgWjTS4takjDqikUzxEqwgs
Jwkkn9IUma+LadX9FHuQeBSWX7lk60IemoCdC428Dqykl3DYeNJuOHXD9cQWhIxhkOYhNHo4icg6
x3LvdT3srl6+kGXdK9WXl8bB8r86/VW8hM5uWsYKBUAzpEycHuHHRfi2BCoR2vwUxJGDXOVGn5JP
EnUZfQ8Imv6INkzVNjjCIEJdB+FLuUGs/SAB1gwdUnzkE3I1+J5DeKGHPBoyKUUC1c+cxLDGN8Tv
9Y27OuA9zECPU1hcq0+adqTLsl9nhA6LNuoybB7lLu7yXR2QK68NjliNTkzg0oFkDV3VWVOnp/6z
DFusEFOXc2qcQ9HRa0rNphG5H/4CgGSBELpA/luK+bC4TlpHYepVLt46/kbjE51Ws/o2y6rhoBX3
nlt6kDAA1jU5ey3mekKaYygz2xVZB++coxBpxyYHoZOQnXN82O374J4IFfeVCA+OYz34euGN384i
kWNNkkq5T/j4sYsT9dHO5QnVWOGu7ea73rB9idqJFPxos2tmt0qW3m1TCWgfmJJ9bUAFgb55COiS
MhU81XF3uyAGw9laHS1lu16q2wn3CUfMbgd59hG2/TcsrrdDbJtEFbgEJOvuEbPfYYEje8RxsWUT
1OEVntwwpkPDBo/HZX0TxjAZK1GMGbKjS9bPkMKx7qu0YGsBwNRk9aygdjIKtE57b6vxIFJZuw9l
icU5YtcYcl/7HkVpoQoTXTsZkXMS2OgLtpbdZL176Jpn3LmH0NvEKls8tZCZYd6qK0uw1VbAf8QA
pVe/BC15tQIFO0ETvhhvvtIzAtpWxg5ESeRO4yB/xhGmSYijjqs89bS/mvN81yIVn44yuisCHKyY
w57Gdrpa54K7jXxXNDh1FTL5xl8u0xyNB7SiDFkzs6uaRE3CaiyETrF3oRKkXUAPlfYu1l0ROPZ9
uPBrnzD4+6Wt61tfuGuaIyy61Rt56VTQlU9jDBcAUQoe1A20AlQ5ZtHaHwz1kDt2y/fQYoaJ5vE2
bA10MbQm7vPYmEvdgbPofHtWMH6xKIl9pYSzj2tbYuZE6B/OnopW+sgG58RkWO9ZoY8xpq2Wq9YH
mLlOMZP8n+PY53GMQoT66+PY78/W+rOytr3y54EMvHgQERL4m3LlfR54fuGhIPSj8/T37MvPAxma
cjH9IJz3b4P4F2Vte1g3nkqA+Q2NGORv8lAI4fzhQIafFOE4hn2H+dBZtj/lv5Q14WiWR1F708xS
78jCIO54ykvV3LzI3o8yrwTUgZbAKlFVqCBkD8cuID8m7WJjrGt7siibAzhdlengjodc51mAzyPF
Ao75sBkBvIL8LcPy3QoMpgSpDjA5NeT6YWqysA4i7rRLfFt09VPQY0ToLIR1hLsvC+p98nzQiStf
ROk/1rVsbiDAO9s+YRHoCEEzzwSxelW8CJpXqAOL76IKU/U8eh9YzsZd7jn2seniA3i1c9nOy86d
YUSZ+b4j9mbWrToqp7ueMF7mYBkD15TJFMyXOuwfChP0sKY1oFW40/ng7ys3LhKRm2+LJJD783zK
QozW6CsT+1x2D0ht7IqZBhzSPbSaXh4nFX4lBF2LKFC4nvIOCZ41R1FPB4Vurg+FliSdqxGNfX2V
xsF6L0AgHwKH4KMZ5XRWckVeJ8iv41aeUHkBKFOpbB2c72WpYi67LuS5lnu74ojXCTCqzoTaBFLA
5h9XVJKp6NbPG7QADAR1SGXLh8G/L9vwXpvvXqR/hPhxI9x+/Ci0jxTEvBUj6u+MwGpCwwE+hr/N
NLBKfOah3WBC7Z+iMsFueYh0fI+qE8x7Nbnq5nJGkyhpMxlokwLo8/Yr+hfpijW5muI0coKntlni
UzeVhyocZMo6ce1uiE8kKlStqbPRwy3K+9JBgT23zU7PsLdIIF9iaui+AaOWiK2MI1YIPsvwaumW
V0/XO9ogy22X9lj70/1k0P1GVvuB34zSKl/BE+vITaNrwLlkuS3nyOeiKq7i0RGXye/fSS9Cjs4r
7yg3FK5w6jDrkLIKsqWBPeKuu2BD5/pyaq/zyQlP7QbWwWiCohl+8nZ+2zk8YNF3UEf2NCGDFYkQ
NQzzYfDFbgl8m/qi/xJTWyC5BZeoavErDDbKsUIcE+0rY4CPOMKa7tTF+uS3GtKIt1ioweFD1LEz
Gt8+VNFVKamCeyWK/MxQ6bXWqA4ubIrWzSarGHaXxhTfy7WNj4MOv8/hhqVHK2aHKTYQ9czdgBYW
3IhXAnxaGva2xVmiT0CpOxu5jAJeHI5EHo0cAQC8Yp40b2y+7EoifqhW3CqwGimtUTo8FaNO2Ei9
VKzq3HmNm60u6w454lUOASctmpMtPZNK4X0pW8TNQHwMlwJdJ1e+7YMPYP3Vo3ZhjKopQuUeUQVC
Cv/sTp+700bP/vXuhKLut+mjfzN/3py2F/5ncwK/sVWtI57tQ/iiv9o+LgilAObNJ3QbbHHJn5tT
9C+UQSDKxCAHYlsL8T/9rhZGW+4IVhCqcrcw+N8CODZJ8he1cNuc/C0xhd/kolUV9s8fN6cmBw6K
awMnAVflhxZ3R5FDPegxA43htCR29MwFa73e+y7KRWLMTE1JkWdp6vd+G6eMYw6wSIMs9jE75Zb5
6K4ougRJGvBGmMLTYhvOwo7hmrVzfdvl8UuxjXBwIPxkxlSHRsZLjykPix3yMZj7uqV9ERCmkrWL
rtZtNAx1NR1GNZzyGgN8hflxxQkIG0p4xTz6lG9T5oBxMwYcnDa9BDjSv6EIoUHxXf481UHLLQqS
UQn6uVSuVwzz7LwNtjhzvcaYdNkMLBaTrw3VoxPUV0Nk2wQlgU9NL5AMICh7FfYcrvS+wRRNcueL
h6k6x7kIjEqYGMzbbahfMXRc+/+XvfPYbhtbu+2r/C+AGhsZ6BKMIiWKylIHQ7Zl5AxshKe/c9un
qmzXqXNH9avhli0rkfjSWnPFRbqK7WknJ+7HvCje+5zLb6nads1lDlONPE75nArOLmEOm3njeeXA
qCXRFzIDtOPEvSBCfKvGA0QHN2POlTpaRn3HzWibMktMmWSuzPQy0IyFNtj5bDB3ZMO8HdUgQkm6
nZhM5rg4JIAjuaR1t87gPsZNGAGHml+cBI9pMrL1QtxD71HSnZgJj6TScPGnLZd2Kt0tYtOriYEp
XmgovN54dOJWB5RohIFT+edUusZNzsA1edF9c2PFBwcBiwDy48xcDYnZ3CYuTzhgVJukX1KYRL3c
tYP3EjscRoYGpBHLuR0GYfYlRfU5cx12s2qsNhp9mzMkzgL3Wz/vEwohTtn0U9uaH2DMPrDPsa9g
0IzAJU5q8pyFLDYp1fPJtDPIsLPHvZJRtWJkZa15yBlh7SHetl6E+gE87WZWc64ROfPO+2YoLe2h
34xSuyT1+MVfsrENbAF2QCAlWRpGLhdxiaWxbGl4qvqOkjAYIfIkz/XWluXtDaVQqdrpHXDqA3ew
NZetjVCIA166vI58tt/SDGKldUEJ2zDlRdMmcwfWUcAB8d2gjulz1lSmnd/5EgC8ESIUR0pT+s4p
lJ3O/hiVTR6lvC9c7lkeqqitqdQ4NMhiqymFjoDAeJwR7YSId0yl4umR83hK16Ng34e643uJQY+w
BkSUYSEjicRyrireKanSCJlxfRsiGooLIda10hE5CIpyinePwKirLixJ6lWL9sjzivAwOdXNpCTj
En2Sb1RfrC5HIINyqbCKeuNmXbbWJi1bU6UQhtlK1tXY0TpetB36k3R5M5Qiqj2l6aFDJZVUDZNY
yMtAFuH7rKRUxtxch0pcVaKyQry9L+nB0NLHT1qUfWQDbxmjpDeu0Wh1Pm5yJdry4XmDkcwfwGp/
9ZWyK5p43ZlK7FWV0caCpER3jJKE1rE8acZkX+vIxLSkaG4mSc0EJJ1uXH8J15PSlQ1hWAVRi9Ys
HuW1bDNvhZsqxRmW3Mctr2bbipBH52nMQZXfOPBaEPDzcqlC1lb6YtLqF3IJagRvJldN7Hi8seKl
AR2mdHGQGEJ2Qn26rpre2nODxUMZX2Wwnrk1NpfCMo85QjsRiodQ6Th0Q16FStkBhWpKWEC0bcpF
XW9fMt/u4Ap1pZMG3ZBycpEpTjJpFgYSpbAE5JF0nIKj2Dr92xN86wlMKvHf9wT3759bGDBlX/21
KVAf+UdToJSbgBdANrg29fdnUadHxULT/P1vfmoK8DyT62GAm0YQ+qMWxKPJ8MBTMuai5uXq90+a
AmLtf20KXBcqhAJKCMsCsaSahh9OiDDzym6pJqa33BOBNST11pRxulH4uMKd+m2nZaiQJtuSr2yk
j7XSFjjCc9VjHswAnO51qDQIkRIjePAeirl0oQ4kwKb75d1W2gUI5XgTm27jpiCP6zy8Z+3tXJeS
KjlL2GQ1j/QbiFa4Z+KnPh43I7ujbeJ7V5hkr6xW/5pN89MYF1eulZ2bvKWOGXs/iVO1R4uVF7dm
lsOgssxmvp6E1QXwheOVZTsfqWs9jo72lkntY5RxQy89F1CtOZowxnxpipmrvdBueiGZj0Bcr8YM
QwPbnU9zbKlB0lHTHogFOTBnDXP1FBfVxXCiDWT5jKEF7mQz9BJy2W6IrqPk4NTmXdM518hePhZ2
3nN56+gQZM02u+HRvoW+91w0DE5G+Dku7QdpI2MR6dc5stQq0rgA5Z9X3rAInK7dY6WxMJyHHpdM
HudA6vNphf2hWbfOfF9Evb3u3dHad55IA5MN5AZOjLtaKpq3gtma+TP1N9zf8JojJsxi6gGBAbth
0NI7W2c/McGNX6Uz9iM9seXarjTzum0y1pXVyLzpgctkic2UO+Hx0CqxG6bugIA/Wbdmj6lZCc+G
bxq0ElN6dG10S/GcdjZ+nLxoan58PAYnE0CvnBJ0sbb3FfLmforlOe5ZhphF17vXfQgr+60FCf6F
I4qrrX1sPQja9HBrdzDTXEEb1i3wOiJjxuDBUfK6WIzk0Ru9J/bh054++i3D4g3uok7OI0zxtVYP
7daYvQe/HA9mYe/qNhx2OR6vfavrj9qAPXsQo7mZwqXcSTjbd5QxpMrsWs9d6a8bwc/SxHg6gSd6
4BXgBthXyfZo8ukWHjpM0mGsAVjKT50hnKObGdhs0vij1uMJuc0sqPv6jeZVYb8S6PcLzdYD1++H
fTuE7d5onfy+cZr8LCu3fMiMuV/X2DdxrSLz8/p13zsaeBXqVgTYbnLKDOOKhkzLHKpVX83nsYd7
odFgBgVymI2dGLA9oGJv5yR0rvpZvE9hHTQxosbZglMJtY91C3qSiBULDmxLO+CcGt+ydOTqSXni
WtOXu6muss+ZadP0E1GwokG/ykY2+mhn8KX1/mKt26UOV4hC2ws5B+Epjkzv2pMzTn3UQr7SDblK
QZQqLdGkVEW90hdpHkqjTscdlSn10b/16Fs9MuB3/X09uvmQ738FkoEC5KP+qEUMqMo+wPjHGRRh
4g9yFp0dKVoSKBcqHUqBLn4fUCERGQ4VjAQqBYHXfxhQff4/G0cMCiVUjtgS/gH62PwW0PMnso75
FOYZykefUCnGZ76Kn0tRSO0x7TCZz0l5a85uH0BzgOjd+4/TYowrMSPe8o3y5C35HS/kTzNa4MDl
wLYaY2gGc9JBX+99BOT+Gd5IhZjZ+eSDaM0H/2lZmkdsal+HIdo2GqiAxHdf85q20escLPAjtH2j
OFWjOQYylP4qW8ybUTRxkDtC6ZOzJydyFg6wTsHlvQkMA79bZdgvWe4+RfPyCTVCGYSZvx+b4TFL
+tvWt25IH9J3wgcumE2PFVqFm1D2VzxUOWNr3VH3Uhj7pdwWU8X3vKCcZ63m4Q/04i3azXCV2lyp
Yu15qJPA54puG/5NTojJAkV/XbqgEMISG+yCr4Jr77bxcm/NhXGlW/oXTpJnzAsOz41mvl/gFScy
NAO97pi2mUbt1ISW6dDbR6WWbnzNfi2WzNg4Y+hupkTkV7x7eQCOOrJq+AaTC93TG+U6JzBnTZjQ
yhtBpJv6cO/MSJGX1n7i3tRkQZS01r3vDso9C0UI8MDkdN3yqI/jwkoYXU+8toHBKZtHL9sbogRS
B3RZlFvrsFqKVSOTk+fITdbNO5FPwE2ks4EUBOEiijAMWjJwlxDdka0/Wi5Lz8LlbJ/aKAg6gr76
5Q3hXbxyOl44cTg8kuHxluQfbcg1yqLW2VaHXWE4Tq2b8rAu95UhtE2c1UCiXHnti6oIstk8Iox8
ni3nqqjZ5xY213s0lY9W0d1FhXWno5EZ6/GAL2uHZCfcJzbzm5aEexaHjA6NeeTiC99Bq93DrNFw
LIX3pMnWw3ylbUff2IlEMlXgRPDC8bD4dsZRn+HBisq1L6FwSEJykgSii3CX29IIt+bAyKOhMWzb
4WnJ8+fcNr5CsCvYJjQvwqtOZZg9zm78ytH+dooBok69t89KpOxtCY6rivfhlLpBbkEemfqrghSh
wEiXFwkbodSb935ONszcRz9NwAjUr06CVzg0R2RhouTS0OYPg9U+stCXbFzpJYSbHbMJcubCmbB3
XxvyP1bt4Fy3bMaX2NoJM+Qkrk07NJpBMQxvthfd0XJsXb08424/T7XweY8txin1WH40TnlaMpax
ZrTNyi9ZBipMchDuxnBXJaMSCVioKu35NnHstcd8RK4BCqje7V6WoZuC0DHeAa+UDPRZHwgwgnqO
npmdy4OzIOWfqpya3roPZRkdvUa8Ll58jZD+YgKy1QV3ab/xv4SF2Be+x8vIbQ5yKHgBhg95ukyb
MDU+7FT1alJ/4GX8wgKePU9Y3fSJc+l8k33C3G7Yid1WIdqKotPVItgABx2W9ip3Yp9hk1OQzSH8
ds78uwypFsaLujmEMhabAojgtnT8T1PYk+7V3IZ6OwQM6eG6G0UYFHPjb9rUPtZeZ92S4LDT5ipm
BSCb9L4u9c/hzKUBsg9IoOpkLtEnvdRBJw4zQBpf2/SZcRMDCUWDQGzGnHvlFsnaRwWABK5EnCEC
gQVd9I0PTRxGuuO7GDBsUNeh1Z4W3T32hn6VDOCE4/6ujaRkEWQenMW6mQbtWBV8lwn3lbpnqrUX
zVrP5NulcTFww7f+NSR8DzwQTGt/X/LJ5xq697+On+qj/ij5BPb6NOKEM5ILp6bFPz2Fxm/Y+JjU
CC2wvtFEfyj5lo7/lgBnyLHiJysCiEHVO7iMst8Mh/9IwQok4q/j5/dxFgErnhRP/f0P4+eE8J/s
m9A6Z0vtzgdQ5oX5CQRBH54NDONFATBLM/bcf2CdDPH9bEVIxihZbC4HnAghF3hgxNlm8HtrDVBc
7MXI8dSbTAhXsnpHiRNxDkrel6ab1oVJDiISEFSdEbE2YXqbNoSJRCEPr6JD6uYRaOLNyJcSn2kJ
hGBI5lfGU14r5CZueyXNAIZewprW3eRZ6s4lMcudkxctd9R1KRdiCKAhSlHQ3abVZcFKVDnVgR0c
74i8IqupR4LnE7GC/HF599P24jiNIN3CQOqUG7eG6PPrwVqqLSlGJVKEvCJArPlqhtH7kEIsLDR3
088f7I1tFIKodjQzWudFeT0Z1nNdRrjNWGgDTyA2juV+HWRMIiuzYte/eH4b6HI6mkuSbox2+Ri8
cDtU8qj74053QZrW1a4zu00LCAFCkoRGROVrpfnRg4fJRixTyHehnZ1K8DGLPbpQHENKN/2aBDHj
KdZMntf7AvjMVKUPOTCavi8vEC+OMZAaYlMI37GLi+RXOiiOjZiSttz1GgOL59RXul18onziPHTD
k5D+iSisEsdHWDpX3Evaiz7B0HpD1BIZm86sovKiLf1c7wqd0T0SmXiBouqj1ZTZZ8M2AS61I/k0
w2cMI1swI1Ewevx1MowfbGW7IGWlsSok18U5vrHK0NtwvJi3TR9/HTW6ktSbX5GAP/TLdNGl/kZg
IryH5TWR0AMcuzM3bmR9SYzpahTR/KbuiiuIukQUmtwklKDYFtjY7PZCTtDebT3tRMl9mBO+LdC3
eFIj7xxOKPQQf2ELs9dD3AMlyhx/0zuz2C/uVz2tLFKv+ifZE3lU1NwJcyK4ssg3d7aGGIc4nqlG
KNAyagVaFX+OsmYJeN4vW2/EKJvO0c7QutdkrFAhhk5QeiWi0ZmjqdstuAXBWerE+0yjFeKZ1G7n
UHtpUVmxytBhF6WPrCgiAswMF7coXj0SEQns2eduxranr65KFpCrmHi1ofFsMCDZ1y7uz3VhvcsO
aFaOTzCb0xvck8dagVG4KBzB4bsrdmAySLGttDE1lHZw3DUTOT99zP7U8PP3MvNeF/j7RW4fRBe9
mplZ0806XFhijxREw350tfh+wvor/PGlia3kUMf+YZmaI8fX+hhW3YtD/8okc685DkkQ3lnzu0ss
nI/aWm6KokV2xGtzcWjBa70c1ujF7iRSoYz0qWhIdm0a+5ts8kskF5Pz1snuEBvpcBd6ku1TmdPA
j0en77J/p9nvpU2lfv59abtX6Mj2r6VNfdQPpY0qpRumbRLa8w2U/YcWCCCERfHiBvu7Ae/PaZYJ
VocvoewSjhL8/HFuxUpPoioYXnz03y+x/2CcZXr+a2ljztZtA7g2SB7xixZIGiDEGs2fz7bjd1uh
5SW3FwEwNjMxJh/Z1U02c46taSBGyvp6xEks2E/ZHvWma7nwJ7GwT1M5NYAJEf4NtLFY/fFszWa3
NfTevwG2U+3ZndYXw8KH4JCMggEjsnddWr34C/AVzRafy4ZTEGljlyKBpwhnOmcrJlGxRO4ZxbgM
ykri/6qJbcYhjdzDA2k7oN6AE2FcMhO9nywYMAsYR2Si2ntCPSZU52F30LOh9CiRpQ3jMbsDn/Ex
Zs19xfhWF8raJhztkE7adBX5eR4svV+fxeC8AQO98xv+l1DPrkFfjWvLGNbdVObrcPTBZvOjMY18
BZD2IrLlqRjqRz9tjkncvQlWl2ld8MUuBNCUZJxaNqPVMNrXS+19IRoOTedMQB2AyCOI3SrgWNXQ
PvR02M609Vm6ZrHZrWyv2vJs2LhaA++tfknVecZVZMskLtoNmWOfloScQ0U9G736jqsy17bUbLzb
7hseTVOkNPAExIgI9qQNNdPTW2i21c6glvI0QttKu6D7W51au3hesrFdeSwnuw3cFt1h1/EELgck
mVaRUq5V4fYjqtOoavlAI6CKO/fHjVTlvps/QtfZGEattiPRO3G5Xwc3qsDo0Sr0qmnQVfvg0UeE
7ewgdKa1qNP6gmL73VNNB8GHURCrRoSEDXtV0ptIo39K6VUG1bQ4DsABDxG2ikZTbU1MfzPQ50yk
2Paq8ekLUv5UKyRVU+Sp9sjrUPQkWdSvUSCLvcuBeVOphgpdJUdw1WPRa2Xfmi66r3D0SElTDVlP
Z4bMP+JUVb27qmnrJi1BaRCiVe4raz32WUaepwW2SjV8QsdqM6kmEHLnvavawgVN1d6gU+zxggTg
zXGSTkRYJg3xtaZlHXNtvDg6ISWuGXKZL7wN2+RT4Rh72P10LZF/nkoUwblm2IEb6wcRgRhyMC0g
xmUvn+bTuZq0Q1v1LeaD7DNd2HNKn1rP421qDdNaj4oPHlI3rREVq3b0bjDoiA2gd3BcXSlBX3e3
Zm1+SS3sC0xcmHfmT2Pq34BauKd6pKwWltechciq0+xo69kpZqMI3XAfEl9TNUCdCCcitesjXWSz
B3+/W4bRVewj4BncX1d+lNxXcTTypk6AkdbZczlWz3obQ12Q1jtK2LfSgRet9xWoaA6UCIrNa4xZ
T2mrHfVIXnl+IejF7I0T11chBlSiieFwIz9cpb722jfzzk2rU9UW+Wp0VbGP3Jd+wbKfRaa/l7UL
7oaU1P2I7hFegm+djazyNFS9LPT/XfJ+Pzr+TyGSogauPghE+29Hx5+VSCxRMfTRzfLfKl/gD6XR
sQja5OaHUkkBkv+Y+pzf1B4Xu7j+e1zF70IkR9kgyaTg0IWmlWL7jxa9rlrk/rTo9Q1bZ7qkNFKM
bf+XRW83zLZNgqx2Ax4+xa91kAlMjDJ3SvZPfbXN3HmvdRaMsbi4MMDiokmobmNDBujcV2t2hoel
xalSpwNyDcfBITDO4bppvJFRqftEnvQToa9vtWiusVEcFnTD1KO83VgVpLvafIz8lnmh4ARCovZk
pCReNOZnByKsdB1CJ01x8YXGJdALbaSK7bOY3K9obKZtOtb3Be2wqxesXQlYXQ0aSxNsAi/WANY5
0WvQN5iHUsKlSdLTtiV+PALO292YkTNlhUDTuqG4ihd3TNZ2CFtuGe1UW5ND91bnUpsv6Sg9ucWR
P6KyrLqes1OTipqtrm5FayDQAEhGnxiLFs1ENxcbKKRu0MzmRtpw0DItvR3SuV/5ZR4UFZ6wQaRf
etf9CIkegaBGg272N7l8NEjbgikxkgju42Zhh3TvTjpWwsJ4S/NOIwKtNRDOMAd2DIlO2HVXjSg/
NUactmBr4kps7JkEvJVTWMalySKwGrFrr8c5exAx+1sldukmBDrsbF9KqyImy8XquUzViRPvHGiu
vyldFvZRfSjzCqRjtyvaeJv77hVYnxeXPURNyzQfKrwpiGnFAZo8hZzve8Oi22DXh6BF5OQO8vU8
gw5IrsDQog1RsmZPCZzx6hfn0BMPOc3OtoAfSMfiHq0iYczqxyZ5yjpcXrAWAXFu9BEhmjFfRIdY
WDjkrKV5xcGrFveRnC9hQ4zu0ppnxG1EiRt77rwXO3UPYb7sMjkg40AhKvsIPkhxJkJuZ0wGLg9B
OB0QhW6sV3FqE6depM+2W+EeifHqe0+FRmqA33b7aYge6nI5tWNy3xbDC/GIezLwmEPzuA6cBhn1
kpi7iRqzhZRobCd3PmF9Ekd+5QhHhvQjnVhltHxtGr3gxjSxi6IsWk2LuzMX+81oCccuBSMWDcYS
hXcFQSKH2e6jk6lZ9wzGn0oN70n30A66zq7Cv0Rxuq4BA5b1ctU6+pPw0xE1c7rrkha1FvaYyjSv
ky57K4YoIdHN2db9zI61qddxHSWYRoiEaObx3Q/1aiOKcb04CwcWDsDCeza4WFadhqZWpTLYn8xa
wCAL0/slis+jbj037ajsmU95I/SNMJjOyRcOkky7CYW/S4vyZkh6bwVW+pMMWWybgJp94nBXpsyP
ec4/w58/9kMPfbw4eNFwgptz5F8um2kyTQ4dNnXMG3Njqyf9jOeEGPe7WNDek0gTvaaJwdU6BRtu
i68LOsgska+dP7LDl5vZ40swvbfeK6+LwUJRzwmXq0iAOnzfRvXL7NKKGEpnMFrOyTOGO09v8jXw
B+yarfmSDO0B4GCQazJcVZ51MdPowD7vYpQAI+ZFXtsSrTMSw11Ytt7Bb+t9nJF46WXPqZGd6Fce
3bIWgN7EXR9ba6POr2OI4pkYiKO07tuE30VRy89WoW5jcK2lgeKjGA7RDOo6TeQ+N5pj4xt3vEiu
qgHNAtuuM4G3W9xikleVfAGesGabn29lJ26rfDyCoDxqpkD7BaDRmrGXt9a2b5FjLeN+BImBqO40
gZDr8+XSy4xIwaK5Ns32ONW8ZD267aLLH0mIf8uwdyMSO/St9dERShNXzkE34yfZJfe21z0QQpIj
CUcuZYMNkh5A0PqgFyAvF0ItiYI7zX0JvsTgHaaP13GVHZOlfJty897PmWaMmdanaoA1YHC1ZLIt
6/psF9Uxcb2v//Ym33oTpV36+5F9/ZH/3w0QkY+/Tu3qA/+Y2s3fbJ2HNvKD77lYP7QmFuENTMys
qf8TUfN7a2KBQRaCZTW4BYtUM5Ou5T+9iaX/ZnrCJYtGmW5cJu5/0puomfzHzoSlgW0DvMdG5DMa
/Eo07sMh7fKlNG5LAN8iS05uhDhFzt+3On+PGf621/7zE/GdsINQECDdJI8HgdcvWmyNNaUNDWG8
tW2Wbj2GfGtjL8NVkZAqXeHeXmkjAhi6obM/D6cmqx9dgwtQ3fVTMBbIQbNWz46ytf01VBIRmHNP
/bZxiIZj+wLLoQ4KL2Yvq8bZuMvvaz5hwHPhthIJWyy3JDSy4R3taRJKDhkDhADgZS6mgFBgyGF6
tyjl094kaXUbOnKLkq1fDwTcgBWY2Bpaz9jir8lMROmhmy88GKoAFfQ9Ksw7rZhuNM3mGgYyQIxJ
unI8/0Aq+s0YFhHNkv7IZo6yzeFobai9H/e9C+Hq29Eann2v/cCv+RYV82urtMjZ4LJUnpNbuw2P
DsHhW9elpPlhu+tiJR9q20eMV/vEs3C3x/GRvvdTOcbZVhZ4Ox05w8uspnqtDSptADXoVudErBeF
4uGkZ8sDdaOQy1ptrjn1vw2u/th2ERZIOLqYtu/cZtjBZ9ojP9ZWPTpfvlAT+2+Puyc27HsNMULA
ucxD2PPm98iAzWk9NDG4mcHKVrwg1qykUA516Y6e6Ks3I8gWjn2tyYGtZkmiBqHLge7ON8aIJGBm
dh5jnexVPb8l5T7dUsV3S2FdR1EYrXrd2vmSn208cuXWHDRbdeO/lYRWAAK7q8plXmP3f0oc1F8R
ief0e/l9Nw4H3c4koi3xWWBKX0Xj/JQnib2bzOVsTJDkujgF8rC0X5CFfTGoh0E26fsq9w+gJjHW
Yj4leuRSZN4aOYBzcs0FE2defl7S+iV2uzgonOqB1Xu6tho324+DuXPdMTBw7pAsQPY6LzE4D3h3
NvoUN++ASqJ2u3gaVdd2JrAGYqK4rmajjbq9NTblWrjjVvdG5c9tp6s8t0GrzXogFJvYMr+Mwj8k
tr6VC1rs1ZzV8imzTRV2MOpiWdmJ2qjjbFtnqXEwERPr5Ib0SmnuNe8ckO70TPsgvDNDU9ddKl6N
xFtICFddD0pvXFcjjBGtsDmXj/LktdxjNJhVNvZlwgpkQnRDNL46qdttpqhG/sd9tsOsxJZvFVvd
qU5Jb+q7/Tj2L0uIfnjC3S5TcZu21XXm8JY1y+yWNTabCu2w5LHFaB3HG4ATJMjI5IszUr3gjyDD
HPS7uHeIz+0/Mk5LAcdWVjj1y9hu4F0eYqs9Zr22nx33fUrF22LPWeDmc4fN7C237uXYEbsxXNUM
HblGS0nktLFF9R37FpzpxdyMUGIkAcetHnMiWWq5M920p9Ek+CWS1ltp6at+qsZ1qLUtWJCa3VB5
nqvxta1SXMqz9dT3wruutdRqHhRwKvKsNkRfoaKJfygwdBBzVJU/pqX/giRVT1HKhcLvqPWv0H+N
S++6DhD07My3I0KzlbULr6b76vpAN6q9l8/1JjvAl1yFR84fyGN25uF/f37K2A/V4j+f3nepO4Zp
2GDq+fsfjpfoCG2pOcNyK933Ojz4golregPIs/rnn8cQukDTKlAFi1/mZWQ/NrZuudzqySmeulWe
f/jRAbLv/+fz/Fz9vn8//DypgThh0WL9ogVuWDPaAzCBW8c+ts65BhwfW8//+3uxfl6L/+eT/PDN
/PJJhliIziA07FZuuycgmhu5F188AOMrxJy8xlZ3LFBXxdbYP95463x1I6+T7VO3CTeX9Gpc7dkp
n/o1/3BdbfmzefrfX5/Sx/3ll8rGntAp8E4+ROmff6n5sCzcEYV+S77STXhhJXatP0dXBu6JYFjP
q6tXfTcFN8123Nt2UBzZMV4A6WwJegu+fSn/chaVLfrvG0m15FonH9F/23Hxgb83krqjojFoCrmu
oFBQssTfd1y6+xsqQg8oF9CMn6LDTLpP/jnbrz/XX78vuQwFbYTZiDsOXcQ/XHLRtP70OuJL4j8z
TA+ZI8oG5S7/+XUEoCHmiN2b12AaCoKeMziuILodO1NN3lijOZSLy3HYErUxAVacl/uhCtdRXDKG
D6n7nsVlYPZNEInmDd6Urt8ixKNapBKZ0KqTpX8uqn65iswhTw5NPxsP2Ak1+6B3AjCh72v9uQjN
EEOJA0KX6K5Uv09ctFPHJVry7rMPboMYBRPw1oXt2E46Zf6Bgghoa5kMbI0sb0h3IvV0oCBeIu/Y
AfcHi+wa9MhLTGxYKOYBpZ2L9sptYnE0Bj88tk3DYbyk/9rEk98EbUOW6iDm5Gj3s3UKwwUHX+qH
/vvQlQihrCZEfelaLAiyMh5u6afUYePNzaLPqcMwz0xQBLVjf9R98eH4FYt5WTTWl7HnZA6Qwmii
8UD4hb3tM214GxFqrqQhsCeQV64DkhlTHIO996xriJF9RAywRxy578zSOICCjU8a6Wb7TG/dGxq9
6bDUdbOzbFkhfFh6PFglUA2vpm1pmTh9GV7zy6Wv7L2gG7tw7fXF0RsIYrPDFh+1bS+HzMLbkHC+
5lIew+toOAxERrYyZy8Nqg4GrFvikPL8D8+KtZ0nlz1JXGczTZwdQB0qWKeehmFLVq41vVgxGPkM
uCIXHXtX6T73LiaBHmkDSfETGrcYsbkPzXHd2q6N8qw2ziLKMrJAbPOudJzyIxVWe1U0SflMDnob
QGb6UuKzO/771Po+/lIp/v6ptcn/b121QN7/y/jLB/7x1PJ/Q0kNRt20vj2Zft7M6+pUjE0N5CDj
8Z+beXTWKLOZlw029zxX+Kvfn1rKPmxwVkWGzaL7H3qEsRb98tSCroHgC8UYm3keXPov1a+Jwglc
ggTyzqp2VJRn7Dlrjafmyk279lZbFAuaFv/FtrhB+gpx17tQ4LyCwMFOk+XVEhFUmC10lgLINGZA
d90ioQlq7vLbxSLbr0gW4CotGYS9NVSE5/jcTjvo1SkYaxha4GInL0Z54j76oK7phcuts4Avd8Fg
02FE+xYwNn6P53BEBSLT+r6t1KFLS/y9LqLPpUX7boqjVgw3lYh5ryjytmhTHXoA6+QaLHc+JrtZ
cborgN34SF9DnEa9U3fHWB3iZZRvI/JpgmEEnEOa3ycHBO2+VyzwdrLnrV9NH07lfAB7TNfk2XG9
bhAOT+ZLaVTlFbdbYHtgxg0ZX2LFHefL5IlbnDMWuJ4p3UAjK6d6mlDmsL/Xdxny0Z1NNCpLvG1U
EeMV4nlcbB55ub6ZVIxqldc7YDlfIA3cjU4W7eHJEuEi7WjDswH1eKKhktamsxuPJtAq4ykhtFWq
9FbL0Cvy+DwABPVIqCAhr7nEEOP0bwXYRq7tJPmAqjsvKhnWE/MTN+DRu506oKh1P6Evzmnk/VOs
1V+XIbY5G0gUuelgIXxTeIsln3ZFglO7SVL/UDdzfDEz4xEnC0zwmTO0gZJ2iTLzdRHuqi4oUMPD
4OTRDfIw/EWiaH3iBLN9bVebkUWmjkOV0cjDcYtVmQ168qQszGTqDd7K1LBNImBQdKR6wrHU88jU
qtsoDXGkdIidHPHgaoCJxxSS/sA6J3eurKHkRwwoOEyn59pOvrhmccJLw9VCb6BFtUgEXG14R+CN
UdUyXzkLvLEUQBUeubvZtyrO/eneEBigXbgc07BsNcMsYfnjtuGBjrCas0h2ckL3Wh/AhngzDq2l
/CrUDUEOnoNdZiaeLovsldTSz7qjvdgGMXnxdPf/2DuTJceNrOm+yv8CkAGBwLQlAc5kzuMGlpmV
iXme8fTfQeovdbXU3Wbay6w3ailrIIngjevux9OwPU29ck8u/rVlyGe1gSsaO2011hc81A9jHh+n
Af218sVjkGEvC2v/3h9x48a8QqUI5AbEBeVztnPJBSxPa3jABDOv0gCReVRYBFiR+t5I53ao40tQ
Eo3ynWBlW/2yZr/VJ/4umR+BydL2dNuvpW0fAgwBnTkcS8V4D6b2cVmyBLlB9aZxFUbzTq+zVamC
jMes/2x0tr2NA0qrkgjDIMcc6YJKgYA10Q/ojz0KW1Q/10120J3+nOh8A6vzY5fTZdkrpBMqfdgz
kERrPrC0eirpLdWX76We0ZOXpGgfpr0Vbax7lNnZHh6BxoNhnW0KBzuiJEKPNSTe51a5HhsY9YJu
z+XE5ZRCd0hkf1107E0EWvumQ84JVOj8Gv48lZeAM+lGn8xz3DkfaKGLN858EKY867IiWddR1cjs
Bd94OeLqcKaUWb0TTr5JLZKIomyAgtGz6mhGustIfmtpS5I/a00iBuNTNwd3mirfrQyLZCDsc9KH
kG4CRdmwdbwl8gmuJ0i09SSsdxFZiaflKZXOZulNOhSWLBLgXO1pk1AHWLezfxdXpCmiWrvPox5/
EI7UjzJUcAX1vUeV++0QRU8DGbuarB1ooC9Ut8FrgRvQs6nSe7ok86JmSemx7cuesu/s3iwC4HZm
X3iAzI+GXd87C3S+XvDz81y8QmR0vFL2+qqFUU9UZlxZffNutkq1nrv6WkbpJYRrT5bndYRzry3A
e3iVh3QWXkLdjNe1xg18+3PnKPgsFlx+DBjGhp+vKqCq6wWpj/NCZf/Q3evQ9iMfPjn0/bjHu5+Q
VeJPMz87C6G/mh4zY7gph/iazwMvAiz/DKY/RFyVggsaW3sV/4pFqgAl4i6nCUAzm4NKM4BUx4dc
oIdK49okxlo6Mgcaw1O9lApYqckyaSkagPIlaMSkfCBXcTtwxsJZLHc5/QT1UlRg0VhAfAVbxVJi
YCx1BnQaUGxQxvt5qTpQEsbT7/KDpQaBVl+xp4szArxDSUKhU5eQqDU+5qVCIRhZbi6lCv9MZb9P
ZUwo/30q21Dgmf+nkYyf+mMks3/TTeAoqAjY2rn8/esiSSOPgymUqQtbIDb5X2j9XDFtAxe89i06
fE9rP0cy47eF5kL1jvX/vRR/R5GAJ/3nkcwRJCip/rE0brVkyP/9Iplk3AvG1rcuWIQPQVv1+bkd
xGSuSVWWZeFyVZu39tA06yzMAowPTkjnfeHkVLy2cfgy6s1dFlaTGzY5vNa228I5d9kesk9Vc4Hm
mkJbduJ3HfoFD6oBjlhB9c5n44ItpGW7q7wUQ3ZL5/TT0BVactNS+nxHH/DOGchQWz7VozzJAZnv
S0IYnP67vqLfWAleQLeG174fRuZ1mE7WtZHbrIglNnJ9ZQJ5KTBAZGp+b1qKvvE5pwavGTW/vaqU
JoweO76Ie5pmhqdEOCEN20mxI/QdT3wF1+chloehM26NAFajb+WP6rxEk6iNLcLyQyzUGDPsQPDP
0bomPkRlw3uYx/OqVuTF7AQgmPGxo7ZwrTMQKsBwlYwjIFhgKbIsNdeeBhAOOUhBTYZPsDlsttsJ
+ArjDq34Ko5LHPhK9EM41j3C76cq48hrMl4Uw25vLD3huw93JrjegVLYoExeJz3ge3KIdurMZrla
BIIste+rVBObIid3lOstrotY7EjnrHLosW42RHs9BLBrZMTA8hp6WkNCCZRclXJwTAe9FDe+6LL1
rIegZKTYFQnrcWEnMJKnUewxaCBtdOoPtQAc1jXQh33Dx5uB1SJ33oKwOJLvOTY64YDIpj5Ynx28
dRhDHcJBo6/8MJx5k6rjvvRhdtWkJykQd8sa2GiWLyB9v/xqC/bJRMUIJyvZxxA6Izz//JmPdIuL
u7d2mFOBn+bGjdSqBUZNVgrXC3MjGCwH8Qfw2ioINajKOGI7vlFX6lgbayrBmzWfNzc0iucuFsCW
g/bQ8g62TbchSBhtRwP+kKlWJBBzuc/66WqsjCetaS9OG93HbYFVVG0esyC8DZfYZKl2Wy1YjKkm
sL0+rG8ny7+nAflmrjoeEUJvLvkr7BhRNEEE8K877IgTeEjKIJSPulJCV5Vlsp0MvqRmzUnXQ0fx
Q2A0lEOo9H3KaT6QpbqKp2LaFDbY6rLL9XXW0+ZYyeEEy+dHmkYEqGBn1010NuOSzgjVOk4FiHYV
r+xqIqGi8QC4Uovx75XDZnLaK6eWz70Sqmse9Z7Ifmauw07/yiYWEzTP3XZzuW47i2RGRTmcNc4r
mReQQBLMPsOc7xTJp9NfRromjT7TScx8OVrPxmDcCZSXfV8QGExrseeaqLu6bZ/CXoE2I5G21EzK
zVDFV1FguqaS3GYpLPGQz/YQWqRw48SLMudaBHm1MVPuE2Qj0dNq8MtVbt4P2gLcrtUvX8hXVU8/
8Jrtq0Hnex6EAQWk4lM2yiNtmc46y7LHbGiFJ5zubppasPVm9lJM8mhAoid4SHIBO7QlRxOzhF1a
+L7UCcBw9U7Kl6Yoo+Ipt0rSp9XZVAgnzgm3q35+r3XxUrE73DkqAYjSsa7nrs9Z4YRAfWoa0E1i
GysnnIjQYXBWrfYuzFsqkks1BWZbTKvOwnpCt/0rXNY7Ol/t9RDaMIY6f3DrDuErLkus05F66eEM
eWhRn/08OS404XMci97t/cLaJUmOr02RWDc7UnYZ8TncIcMHgmC21hqp71R/MC7RaEB4bKoRoVaE
ri6q2yFngJls6FIa0Lokykfep4h2KX1yIyOe3CkOyzNc7P2U+a9ZPpJ7UlijsRUNVqPOp7Ws4w+T
5sAVrtzZM3J/E0h92pk53o2ilJsEFJUbWma6sW0ufpyH8xbi8mttG5u8ViipJofJyH4DGNGk6IoK
0olY4grh09mMSk72hqa4GxNT9caqtH0V6Cd6VeBnZbG95Z5MAxr4zLXfT9Mh7LofCcVfm7Bs9YMA
rbo2SkBFyRjkuzCndnUeMt6bYVI25EaLlcJwvwpoFF0ZbQ/SgfSRptmEXYz+GKTOwXfmoxLNGV5s
7jd+Mt/U2bJXte5sfEmnueGmR1nqojlP12UX3ucCuRROf7opdeawLlRq4Arth1lh2MpMaW9Hm2Xb
pLHApfAKG14aXrcRLgF/Vt2kiPptWc5HQmsnKtNcgjfXPVUpnh5XKvktrtuRVV8cI/6wQamljc9C
wiLbbdJ+gOvYoJ/KnjzfDBDLZrD4qjo8YnJ7KxIFQmB0l9CPtlbRhjzooeaqluVnSiYoyFTsNrok
0RZJfslIAD1P1Zcy4vbVd9HFdzowX5rau0NVw4P2k2Nuk5CLxzh4rMKUmjP/xeQytRI8ulaafdVZ
+2LowBfD9lJ+a7ht9uGTOfc0B0HVydJHLMM4FCIUWqEoN7Naqq6SRmeNahpcickxrZlEJN+phtJz
gGna50jXpdX5JxvsCnnn6UCUi1R5AlfYyJ+yifh3TrzBnDJ2pLFc84YeqkY74j7/oZT21zByfTTZ
oOSVAsA6/sSysGm6ot02Vuk1Jf92KJRHNVZPc3DMYu4qnQX1KllqXd/DhsO3V1QKMa19F8HvMihC
WDdmfZibgZtbwtuTcVOPWf2MM59nCItci4X81NUC55Bh3UVxwH/MAd5n8JLrFJqkWrCP4bHbMrm9
MoHto7HYVEw6KO3mYTbIjxPZvzIrKgqc4UnT+cXLEV+/Hx8TtlZbPWs/JHy8ALLjuoRApdINsQwx
ms4XHqv5rRFicZ1s/YIe/lAPA9fRRiWwX1bXZeScMIHj/TCr204h32bFhoaXIdtSTc+9VMSeqQ0w
ZfWSkEGWBZvI59HJZ2wJwPvush76jLBzQo3Mnfj9I5qESAznst5bengYpvgrhBW6CQb7atLibTFv
G4eSQntbT7mrjSdbSe7DtMeoImW2RqfZUqkL1QBDImn0d90eNuYQvNtmdCLaQSbNJ+3flNUb3XkQ
1sUQG3wR9/WRx+c+mFircX971EpqlPHz2k3t2Ts9SHeiIH3SJq5v6+VNbtZLC0AemWDDpKEpT2Ff
FOoaH31TH3AqLIbZ6Ns9C1wVJ+3Eu5OrRqS4cjHaBt+eW8jyIBjYAoyLIZc753Z26Aqu8eoqQF3d
fLHvRrJwZZZ0rt8Xz76tzV5u9yRxpkDzUvy/ep3f4eYjManLrwqHMN0CxorcNn/TqN1AudiHlnwr
8/F6jBwScdZChI1auAIWT0iSSDqhBkqIMd0CbllKVBKVLza2/Sbv3/LeMZt3AFoCJzxVtUaNAFXi
Y2td+paihs46Lf1eIErjN82ZXPz2J22emG6K8p3vlokw6VLkYj80USQPLY0Hs9/n2zlW4RBSaSz7
7prIfciQR3aQq8SKuWZwTT//UQ8ZKJ2QYBI5xw0G15Os0luR9F7eAlXENzfsOHdPzoC5YzL4sjOa
Ztf1PNGx4DekA3KNANLgxcNs0sywsst4WwqmXUdLXpMqojXmKinp3TLwWI/63qiBTDl2f1EoYGJF
iXJlxD/KCbxSoIGmnKJLEagXAyRwmvcXKa5MVnXKDAKpVoJDrxZPyRDs2zB6aa32oXQKzA3Qk+x6
O5rWHV6ONXPvZarEa1RqO6dROBmzYD9P1ryPu/SVP+BDuFztLWZBL2zL6Mip8Cqzon/KZporiio+
QlMoXDj7BU1S83noJ9CApvZc9hB24uSGEt+3pLTBXTaIRpPzkhrFKdLDp2xgB/rPhf77Qq9jGPjv
F/prgPZvzV81luWnfl7olx5dx9FJP2hghsjw/HKhp0Oa7jv8h4KosEod9B8WQ5VivqUSTwJjA6+2
hBJ+Xugh4DgA0mjm+5mM+BvBQN36dwcE+jOxDLEw4ZaWa9qpl3//i21E0vtG8fOkXRkp6aZd1Pd0
wdpVcqaqaS3n5oYY8JNPVIslZbod+I5QiL0BBfdXRhFsHR/aYgROpm7L0NML8uMEVR2pHjs/gKc/
cklp3Lnbcbt6gap98AOa6oIrjVK0cxE1NpllplFLY5BJGpBchF5/QHShrqEDPyJ9+4XOaorlWbFv
5NC+zAWZHlAcrm7017BAdI/GE2LyCCxzz2xPgPcMy85kqEkfcwXDf1arn1HZfA2z+GErJXpyl4Tr
Wox3mT2ynR7lC9PcUz1LE1M6Bnvw7TSRsrM2p+moyOTW1CaO5zybgSrGLsEU/kO/+TJ85IZ+bj7q
XoOGyAkZiyha+T556CysgVQV+oeaPEMGCRtzuSjTiDfUOzN2QjYEbe1yFZ8karw6ZiQVdB3WFtXX
dJHorfOmRdLvvWisYYnnPSfjmCc7JpalRYUpo6X2zVOp62FCc0avEXa6gWiCy0j0tbY2I9T8KRja
Gw5zjb9YWt/0hR5v6UOoWCWnvFQN5r2mJo4ZVjFlHjkVJ1llPhczPccQTAZP1pI2goLpsV1EFqpc
8eo7vrE1rWG6IaLDCriL6a8nb4hJmmVzuqBfKH85+4Yau+Q4mkMY9NZ2rNnj5rR7N25FOy9haZ0I
dNJ9Caewt2wegNYlqHkoEO99y9sHb3+pAAGlpFW41CLOyB2bsU9HKWjvqQa4bSUfVbBGe+oXmzUR
sfTa1iHFa3AnSZ3AjXEoH9rKVEeQ6htja4fVZzZqzpbSFVrMayW9tuYCN42dQgym3+/NLhZr/BSp
O7IpvDYqk1ouGCt0rU1qV7Ms6Ck0pRO2yzmEG1axjQHqu7WV+jiApzsGQ1dvnXBRmVRb35atSdMT
3RBE74yvSFpyJafwS1OkvuWKqLBWmDMCpA5yfm3b8l3NmGxREMLVQDaFdX1Neo39tufjH+QbDe6A
G+dd+s4zFxzqWKi7YaYgzQtjm2+YUbeJlPZGHX9RFTbtqC8QNwVqErOS1Rxbrgj1UYfeVKvjPeW1
oBpUnKaU/SabIq0eJwUggTrDhqOGpvAaZHw2Hi9KUD2l+DhXPvYFL0Rd9fqsANKnWgsmPX7U8gJ4
RRO9Ts5MiB7H4GlCe2FxxSJ67m6inDyEYdIUX+Tga5zO/GRce+1UfzMENmECR/ka4nap+4hedCU+
pDJ9Hs2BiEijmGuSn8sh4px5KfZd4nwVPKfkXXFSZPY94951pYWHkqpTVlLFha3HhzCdpz5ViEPW
43U71/berutdMTd3MPseqtD0PbXFClN1tdfHE0BiYF9bnWX3Os5HYFJZfhz4oq7t8DZQa4M6X2KK
XapXR0Od+YaNUehysWOJfkgs/8rWh7MyIk9PgDJ5UqJ6lfNhAwSW5mw9nOidHur81UzaeBfoPTBD
2WGhrBx5MGnuQ1gpGgCR2bvTMIVkapd7pl5d09l8B6xq2MZsOA9B3vEoQ8vzkmmw+SPBZJpAKW7K
kTPJL4bgJsNQDsKpUW665eGZVd8Hn8Nv2pZG6MV+5GzVpoxu06AuXVuQouGE6YhoA6dVDHCapdTo
G4pRwOKl3UH1rWk7djSy+UhfLtUj0nPmmM1EbXw1UzC7iZz3ZH2uwDEdMz0+GbQfEHlRxVYfKLUi
kuFvEtlEG6JYsP99EIdcWIqdQMdmOwGIJEypMI0isRX6yFGPuLELM55aMQCNT3OqeMxw2UGVnFJq
BcNsgFt/Y9QYjMN+BOYca+YW3ZR0LOQDZKsW4HaWonxYQ/fPqPM7A0Gwyv9fo87bx2f911Fn+alf
Rx3sH3z94T79C12WGKeUOq4QAzsaU9CvDARTX4IUDp7tPzMQqBPBZYKxdhme/hbeh8fsz9oFPnx2
L4JRRwgDT8m/jzr9NPSyldZw1Y59smYB/FT0mOkXfTJ1gqtMq+IP7n85vmH9Xm9Z/fS64t/Z1vDF
jnODMCJX86J9BrRTqYsamlk8IVHtv9eLUjqmdHT0XX4rSfmwNi387YA7y14U1rC03js9ujP7+Slc
NFixqLGilOuxCHF7WSWbcxTbbNFudUTcORV3/F7u0BKJqgdqRMSi+MaY4Nb+bJ7bxHmQiyqcJ8GP
uLHP+JpvVDlehRjVCwtfSY+gLDC4bhj7WM4iNo8CcAmjKEn8RYnOFlRAsOio1VqvunivLor1wI2E
pr1s4yxqNuhAmxKRUvf0xN+ai+ZdLOq3X8r72sH6xvDW6brXsQ3gKxWlPMogJ2lsTtpFRYft/Wg4
P2hadJm4zg1KO+za505FBSlh3awILhDomsAXmj2IXGOcPrk/7XvN2lg6Vh5HDR8DLWP9TSMZkclq
JVH4A5T+WFhXQ4RJbnEAFPVjgSOg66YjyP6tkszuknBgc7Pv/ORGLFaCwDBvbV4hn0Am/cn1ZkjT
S437wMSFkIwzxGsyMvBxsCg4eBUyPAsx3gVRYmKg0UZuyk5rcFVbRy2278GdEzaY1ceojwmh44aY
cUWUuCNKXBLBYpdo8E1gkXkd8VGUenca8VW0EHdVfBbgbj9olgOiuFgw6jKAkbvYMgR0JQufhroY
NirpnHmbTgNOjgr2ui+/2G15/uLyGLB7QP6nj0UuafuYuRJDjYo1ZI65/Nd58arn5gs022mdT+Ob
7LjG8yFH5AmgtqJen7Q+pc5xfnJqnc0+XQuob4fOnHaF2f5gHcwuLtTvDQwsQRRh//Gra03FDqgl
/ehajsPQokyxqywemEnHXKE6yWPc8iLNMBxZ3MF0kJm4xcnkOWXGxnqx1TSLw4Z5JriIDstRA2tg
D/9ff8lIDRWLOScMoP3OrXwAxh7eTEPt7P1kaeuzmpHAnE9apRskcB8t9qZlMo3wARnx0Don9vrw
nfzQjyevzdh+PvTfyEeDui9gjAHD6V3u66w/lIDuOBkvzgIsVhT0YCKSjPm0XjsLVtKOmfVzZzuV
A8RJRFe3Her0EJXS8rLe1zz0hJeiN2IPkzY1XCEf6XygNC2ksy1CO13DcncD2xnvbL6fkQHDqzGc
fwiAmFEV2C6ex40KyYQEMeFthEYvp3HPTQBqppZ1GaVccfNfz0RSI8Cboc1SswXFabbtPgLNWaOs
pqA606jbsFSkhBaIZ1E2JUD39iCx7l5SbmaJNO94dbUts8alievrESSoAxq01qmpCPzhvTHlY1Ho
z5lKC5QAJxov3Y8VfatszaJHg94jWmUZlmxdIzPVs+fh5rJOwvSkYpbl/xXrMaKAqGqNl3LhmYpK
8Wo9+Zrm6qGMrceyis5pLd9Zv7A8ziwWJs7B7PDUyCqkZACq52pqA2WJ0bxjh7i1Qavy5rGiiecB
b4f1kPX9wBOit0ujHFV8NgUFC8qP3RbTO3S/ouVhmnj06Mq4NKHYN+S5GC7a2xgyYAchkJzB0e/a
U7KgA7l0t9TXYdnz+8yh5wAnU2fZJIUy1ms+/EFl6Q0tnCretJ3DQF+ql3zBFfYLuFBAMCSt/KZM
2Qnz8YMysbCkWAfJBOjhRLM8JR7DrmzQcNm+JK4VVB8UR5CLQz6jHS9/iGwKHcvyI5qtdh0INbsf
83qn5IJ0HbKLzyVtlVp0DHUJgS3f5tgY9lZW+q5vdnBU+HYo2w9HDAx8Wcpnrcm6AZ6jGtCmWqvL
pZVuldyTC/Kn+cZZi2+09T/Ln+/lj/o/J6Jt+pnnfx2Ilh/6YyDSKHQD+yQtB6Thty3jZypAiN9I
BEj+R8ZTYMD9dSBCzYRY9tNg+694qe4QL6Vdm/nFYVIiZ/R3zBya+edUgAHuH6MuvyZXS+a2xezx
y+4nnxrmgM52rkRWT2w/wdls62+Gna7QD+kZYdb4rxjW6hvY8RDvsgV+N0PBY4VxqnMnQStI3hNc
ZhNKEeSeYDNJia2o1FO457U+73PuRF7XOzd4FL5SeHughmy0EEEsX5AGjBCqq60alFs7R1wolZ0S
pe9GPerrBfASxMNNIpbIJusSxP6dpYqditcBYOqwjpwCtE48bYnRXgTyVyRU9JfQSDdY/HeUV3ML
U7T3OOPaBN1qX9vWM+c3wI7hg2X4GQJhytcpf7cXh69XADfJCsfnZz3ZboL1lWRAu+ASiupqxhlH
ig2Df6/tqrY49gmehKFVQcnpSg2y0cr3qs5o2OWK6jbF/IRd5GzPWoYY3bCqSGTtCfwgoRQk9EE/
14mOblMHlhcP2pudEJdrCERWkjlSK7qXbPRfuzhG8i2uxglbqwL0apM1osT8le8ZfpiPIoYojUCg
qw6yXxWZXWzLsNddjA/Zmt53En/TTWYkHIcU1cCJ+zFlUH5V8o+IDD7OWkJ0ekATsugG2sa1r1Yo
B63v9kM7nWK8YWhGqHI9bSNYbLoB6I4Wu5PEmjGaLWjc9DNT8uGZ9/PYGq9zZp5l1KzpPrlOq/ig
mv7d0MQtx2ESNy65uYqIg8g7NAwgTUsDQ1qENJQw0dJ8EhjWPm1suAVGH8IUsElRQmpyzoRJwoOV
FCAsWHzveV1K1ZNqVG5DthJ3fuJ3DjAybcT/WuAF6Y1JbsvakKmbdmOw1UDSYtrOa3GiGK97sgvT
3ilzoj7/cxx+H4ca96X/fkHcZ+VnHb2lfz0Rl5/7eSJq8je5pCMxnX6fepxIP09EIlQaQXyLw4hi
BFh6/zoR9d+IQlkErGgMYxnOPfCPbbj4jew+bjTJaQphz5Z/60T8rsT8VxKeiylVmYZgF2+Ihcm3
AIl+PRGtEJ7KqFTTedRLuo1oBSBVXlrE1r/Uec4NFeuW2hacPthjZsbkZCnngGBN3Y3JptgXiFY2
nlbqHHprWlGs+BGoKGyF47+Rkb9L/CQDscyqoppNeuINaDVE85tzYZpf1B7HbpJRPajly76k63TP
gmnitWzCSBlpxgmgdLZX8rStGMITOmZBmYfrOA64daga/iG0WIxEyRGfaO425TBtasMBhF2BqUnJ
n6+Ju2ONwsZ3kf10SAzQ5kXrH7MoTTaJ4iBxceDbK1uYIJcTsgWjY2H1WOA2lT4ma427qluNabQB
DU8cWiovKXUYpTnmByvs7jUzVF0/Q7BEGC0pPpmUSx2bH0POAF9xM92yqv2a4/gV4hA3Xtlr2R7G
u38qZTw9IPrDTqrDcwBNdd+F8WcbzOJF1CGGKCx6m95MKU1pUq6qPNHwSp3cOWLW1iDFq8pBlqN6
Mtg3biOiWyuwZeaptqwbm9qqO1K/+yGc7pWSfrRCsh0GUX5jmbg3iO/DR1Wl6YbFWOznBCFaqoyl
45QoJy3slkUnuMGXvgxwnql6wjZ10tptkCk0ia/mujbrq5D3rifbFp0nLarwuQWaj3Mq5ldyiH6R
gSvZa2O/4zSj0HpJySliCcyxZIZls6Toou9AHY3qKMQOL4J/5SAWI9ay9uw1JzkJfHMw3uY7yZ5/
dP85vX4/vRhu/sfpRTXKfzi5+Jk/Ti7jN5MqCjgZ0v6TMVeD1QnZjHylqlvav1HMLI47Rj/LtHTC
nAxZ/zq5DIDXpmXQVS6+A55/c5b7s45H7tzRlz8D7E+dtDCK4a8nlx6mJdw8q71kiRluiiKN3LHI
pD3fgA+Y8UJETsjeyJNhr4Z4vHvkHUNrhYbnm/6aYS2nSKfr06ad4YqsDbk9Kn8Gg823NppVR1Nt
GupbUB1YgFdSphHIWsWPe0ptfKfIX+fa7OS11XVOnbuWWvbyOBrGAP9eU6q4ebNmqv1mvPz0AeKR
GGtqS+HXhvU2bkrnHFZquA/GRe4YBvlQFZCibQzzVVckLBGSOHO1auiP0YSJETdtfrHSpLuFEjy8
q7lhlESawuCdLOG4SRs1O0VmUnjQNfxLrBhyQ7wlxPWpkWO0aSG+gVXl7/HtDOckt4aLFvetW+Mc
LQY8wThCRP1mR4wxaYthZB1iO9qHRtzei6HCYEJN0gfNH862D9PhxL6Z5fscbVN0nVt0mBQhBmtt
2qmjxPjFhGa0LX5NU50uNcmvTQLaZSNLDZ8DKzENMhRuYN6mdldRK07xUQnZhP2KeNXncr4O5zmm
pVB04p1NunHsqibYT4xTz7rR6GiPAvtX6QTubGfdVdclH7yk+b5yTO1Oa+jOWMcQbc6S/vQVmK/w
MgHEdoPJiC4GiLqt40Cji2fHvswVrT4Zihtm3W/cZjB94CtJT0QgmscuKzoq7uKccF0kgCdpKGdm
2CS4QVFHtLEybzTgxRvOvuZaj+jBwupRHHGL9cemSQ6YrmZIF4q9qaCkfg0yTHd2mQWHsYiAwUEu
U87UBKmkkhsILsXE2r9tOcKryc63ZYAdVZItW4EsZYsyC8c/pLViPhLeeCJbJ05Coe+aP76/UUBN
nenxXSBQtXo1zSG0DujT+yDCaESJVXyWTTndhmBO3b4ZKm+KutEL+tnfNAQAg39O1t+FA+1/UiKP
n/V/uCUvP/PHyWoxw5nQDUy8EL8fnz9nQswTyFXQ/8kumLppcR7/lA04Ph1bI8wOupFzdKFt/HRI
SE5WkhIqBesmSDTu1n/DIWHxJ/sFwYBBAtMGfCTu3CbMC9DJ/36wskkPVHDF7cVqLHJ/5MVIqIUi
dS2Ws1voX2/I6MOmWuQ1+P6xVA5ZY3eLqSES8UsksOJehX7RVXuuRWUG/SMeVI/8Wmddl7Kuh+t8
KC+lnkT3eOeIAIX6bBFCWrwXsHZe9dTgEM9Bppeqz3kdoMzCPM+XI17IOdy035/WykDH20tfyYij
aa2VNi9ZSNKrXI1knbDh6Z2JLrgRtMFrB9rd5+IumBluthHVA8JrId9sHT3gEm3h9xv71nTrYojZ
pWM5GBbZrU9MzRvGinaixKwfZ2qitV3iTObs6U03Be4kHKThtMMIyNTsK1zxZKngWy5RLLqJGhq3
FAXrSNMEFolzFmMgW4itVoZJe5foKdth6hTSq1GYodhWFv9Mp1/xPA+LJaQkkBbXqzEsrD0hBV31
/hl+voef5TL134cfGBft2/9bp2/1219noOVHfz6pgl4ubmEYXIyf97A/nlTBvxLss7hALbsuHsef
TyozkC1NncjS7x6oX7xM5m9423XBpkvVKVSkA+xvPKmIhX9+VO2FvwqdTDdApcg/E3gsLdDStDaK
K7oAWGQvVxZtmCagilQNiTHQuGckm1Sf9iCuBB2tefiSgfZkrbWxIQMWID8tntPYUFj3YBCQ+DvT
2CpO6cIJjaP6cQIcajvYjO1mohNRab1+Su7N2r+KVdJ3JGlJ7xaxdTMG9NzArlq2FKlt0sdL8EKF
MqVe5jDqoRHKns0FzRKJQVIwV9twHWkOyjtwWS0g6WEH3uwTQ3FUo9gRec0YtCi0QYtbTZwz7HYa
ww3HlmhLrz70GrhrNI9BtI3bwo9aWi9rgu3Gh8nfk0Udv27loOvhC0AmGiFYgX/6cOi19Ca/IKyY
hcmKRu09uRV/n5axyaZ+9Aq2WVu8x+nRMJTh5EdAMtiYU4JRxw9RxTylpC3FzEF8xZfqGss/GuLM
t67Z3ddRhXkjqR5MK7gqq2XO0YeTHBE+9MrvgN/SbpArabkepFqtnaVnMqm6cwkknMarIt3QfLss
cQ5GLh6zuL91cDAAlWPTPw/aztIrjGJJ9KPX9HOQz5dZAFHrLAkxPq6f0xbcKtxo0r/lqQvJbpeo
0Osg6SgfBlNRcBtfNQUoq5IMr5sKE1qTeZP4E8bpoRlcMQdeJTN7MyjFRyW4cgq1oQgKZ1SlbAum
zCyLrrS0O+r6XK8z2Ryrns+M3zXXVUQI0054adR+6jwJRr3JsXrHRN4q/WwZAOFa9pfrCgsnuI/c
TUqFagflOhmL5jyDaOHdiyiOsc1bYYqzU6aFV0/9CLpVQttOKMnQmTpByLWNFyfk2NPB95qguR+d
Mdz0cX4OpP86VT0+VcXecpk0XaNVH2UFw0WvLFdLWeRVHPR2FNxgMPo/9s5jOXJj7bav8sedQ5Hw
wOAO/iqgLIvedU8QZDeZ8EDCA09/F1pX/uhEaC5NFBK7mq6Q+Zm9177SpyJY5HQNMPt744zAg4eW
n2HrHKVKdOzO9lXXtzdJ1SrtrqrcfPmYpzw7uBiO/Kx+RsKlkMRR7CWLdSn7rD6lnf+lysR9Zzff
vXreNqpEEiR3EiVT3ZLZ3Gm7RhjnKo+vk6o6TWl7zd12OxBIHKg2Jh4z6sejE9mfi6OR4ZxCBdsn
feRCqyHi5sFwlotUDbdInow7UimnzWg6fF7GfzmcY3dpQxLI0EmZt439pUX1tCl6/6lk15un8twY
2CyKzmYyYJI7sNz2i3GIhmTEcNvfcdixfu8Cw8DsryX4FCMV3Zptd+XZIKkyrztXfXLv6u6W+NmH
hf0v0hikPTEbsY3RdDwoTIb3vtThmM2MTczM2ecykQeVY40wjNgLqXNXTxzvnLIGElDqeKuLpbj1
Ju3VtcrPqhHfC89AtFDlzwtIHlvPVvEQEmx7jS8RTeQiuq/fvV5DCJ3Fl2RiQTgLcVuQYcReS+k3
iHE+qCymUCzjR9+uHm5nukeBWB/NcviqV8WOaIbXOXEh9qud3xZku0w8L57VWkiA5Es5AZZg4LWr
vXmPbygQdXPrJ/lZQENeWoLvbEW75ZJLS/d1qMrZPzHnePL6CAAgWm3Ttx51YRt77HMIupReA0ZO
p1BpxmXiMbh1K//entvDlFssU/OBoUtuIJPAiwwhnoxrd+3SmIR3WWtt/US9xYpVbjfTDTh5HoKU
+JT+t6R279vOvM/4mXAPYD+UJY1E7t0WHYQ5jEIcYZmF42hVbCwjbJ4h3cdKuWwTcvxDnfY94a/z
PPaKti1PuS2vY+C22EST4WxpehnyC50PtjHdrzEReoEnEM8g6a0eU/IJf1rvNYTDo6aPNFa6hPch
wF2dhF9BORMJUzS4MQmWkNa002L1YCTIK4hp28rY6ck7XDUIsv2WwaPcaq25B6SzbAalmIuB7DCM
+qG3pysmh6RqmGrfl5z1WX09VnV+rPXxRnbTvZirEIrBvKP0PlfKP2i6Nj7Gy9zvxt74yPx+2rTM
xrByssReodX/1lM/D5OY4/x9PXVOStn+tZLSedEvlZTu/4TW06a30R3jLz2PqQOXRTHusJKDifNL
IeVQSPGPy9zIc370Nb+2POswiS7IJeHFdhmi/6Nhkkux9qeWh3E7FnTgY3Bsoe/8seXRI7MDXOna
1/FCkO8TZmcCvdCQFHoQk5oFX4d9VnJpvcx8rStnYn835ndCM7c+TsoCB9gEDKtzRYS5w3NaGMxV
swSzO8Au6e2WBqVtoxMHEjYiiq4lu6uwc9fYulE0fZ2oYbYM1K5np1SBtXrAObbw46r4HYEu2uDV
Kc62gLxuoREo2e/9MiUR08hmJNXtQ6xHr8w/sJxXIsVNl/+womek15NAjT8dfSzu1ADm/eRsqx5Y
88XSZucwI6JJrCQCQ5KPyEOh0kblUL+TR/lVDtRDnVNEJJaWu5bgaHb46UGl2gEdRweMq3wXZpMy
A4rMAO/TUyK1b8alLudLRW73ZLr8ePIFyVUePerKuyvA1fvzsE+XO71znsahfXGo+Sx8j/7l3wfx
x4No/NcH8VL9J9zC+ppfn0P3J/Ru2ClIf0CBuK7hf+loeEQdwHsC45YDlYaYiV8fROa9NCsCFMOv
s+BfZg/rwJfceigJ0Bh42T8Lp/D/MnxgtwX/mfueETKkwD89ie2C3r+3e+damkD4meeJuoXJHiuL
DFxGVRDHox4Hm0a/nGMbjtzqgsiq7cOetfgm7mxB/k6fiALfu+RzUIAiO7fCSOstYthBBmN2NIl8
IMR97FD8vmAe1+pgEdKiOslcza+PrdUgcEJW7kx3sACNjRtrldy5doM3fipfDNEnW0hhh678kSI0
4CtfecBUr2SlSq3dRb14TEvj0pTo4XlugmgW9+VMg6Lrq7goqs91VZxLFV3p4/Q8o1DeQPSNEN1g
IqyPJCRGuBnImkicNMG0xsQ1n1yS9Dz20xji5WaYWLi7PgI16CorZV3ribeqJ6pk+Jp1gG331JTz
d2PtmJJ+eO0mG3OBzFl9CTtALX/bUrHsRmeAkNOT6w58sNua7jIFGTL+QMwls8t1IO4JIxR2PwcI
ixT5fcN3zZrg5ZIl2K8gsSLSv08Elm8563YpOJ/EVgCZ9ZxAWXb3JDg99/bMJEiNV21PNzJAwA9x
izxoltgptzcwChOrygZ/EzGUPlpxhlnaqq5To7pXaiR7tT4nIArjibnw4LEMdJlfYguwUKsBAxqC
zhSbIc84+1ils7M6WVFBbATOCnzCuC27Kd0AD85ATbs4Dc3uQuaDvkPgmV6RgQSSQL70JXNgQtyT
PSimJCB64HZyKZYtv9siszsN/ZBulGheZDXzTszs8zzrD52cQibGSE5hNWdlei8JHUpsrMhugnXW
WZIwwoGxqS0tOjRZFG/F5N/S5Lqhp8yPKtfbg15zVttldW3rbPJis9iVZvbEYIImUG2qWt1oKKfQ
cGFZsVBRbteMqDQvnnFyB6u7oxfmF1H3ZFGl9n4Y84cps4+lVHDZopg4AS+2t3ObDrzRjfhc140e
mD5hUfE4vpSuYWLl6V6mCOuz1T5aLctT2WA7j/2btLW3Woq1we7eJ+yydHXjSM+ZsRXNyAH28Mma
Xf+AmT3bVKkOVGeWR9laFPwd/lhn+YLC7ysDcrKQCatA4ZaoMB0sfWuJ/mlIcETqOGiCyolPQMRO
wvXfyoXIDSGVsTUq/YFR6i5prEc0t3vNrG5HQbMyJeaDxRI98GJRwKzTgCFYl8SttS2jxd2U5C/4
T8p9qc9vhVymQzZLXJIgHQku9LellpWBWRCDDADtS1pCR4AKjvx+AsTuC/QwjGL3yHmbdbOyK0as
tZGRW6EHf2bj4FHN2/mGSJiPJqcjqRp1XbsuAs4oPjUFPgBHnz6gcN0TO+VuHDbqGNfxa7XL/DkO
LGDx+pQBcmRri1XFW9ny+j53xzUvjUTviNQah/XbJtO1ijcAYS1qrmwaoviQyenNibuSNXlZhpPj
X3o4C3hsPrJuMoOKZgLxzcwbqnN3iyY+m9E6U6wf5qUih4vgTidWGI0hlBDTchaNGnZ0XrDge+fe
Isf0KDsEyKxgmMwY6UXPihPrhD2mhzNRAHcpHPgiT49xpx6iWH12k98G5UgKRBXdOFr9WHurqHvG
VCti6Zx9zkXORkYuODRCt+pXd0f1UlZAx90RqSCm/I0NOT8cJcSbZBif/Ra1eF9pPNNlzV+eZJB0
OpPHcWKX1ItN4REx709Gsctm4DDjx9jMNE82CJgSTkUMr2JawRU6BAuMfkaIkfi5WeEWGGyeDcv+
iCXYizlzYYhAwhBthbLQYqsn2DrzZqhhZtQrPGMEXBPYK1BDX9EaqnBvBwz70gRqqEnwGzkcDhse
B99qgG79Bk68tbNXZIdc4R1L7l65XO5BDIyK5V6y7SNvOlor86OOoLb7y76BBlIwgIGGBSBEX1Eh
CKOezBUe4qwYkfHn9eG/VdLP7QpNxN+3K1dv2cd/6FZ4zS9VEmJFjKHoBzGksgAxGQn/UiUZJvZW
i7aD6IgV+cmHfmlXMKpSuFAl4WHlDFg7mV+qJO8nh9U36xRMsSb2rH9m7FiJo3/sV9ZOiUGyB8kb
s+OfUeHoVdgFqNK+yYZcnjVZqOhhmrJSHRwjyfYjvhRQANgElGcHUNjyo9VAwbF7zT5kEZEtxWwU
RF6iXifXyBO71e+0wZvLUwtjwbMxmo1Mf8mWK08amv2LixSevYrYOYWkh4cl5C8eIexDiyMCoBUe
0AX1XSxJVxzPKZGs2o9sViPt7zviWo2B3NZ8TXBt1yzXEaZBTrjrYtb70ZD3ak19FVhhg9YAWl8S
Cdst+rXf+h/wrQh59m4W5R05KB9AJO01ImU1SbZsGVVnRdhss6bOEqLMBFRuPeJoC8N+kok3bRA9
xWzTzZq9sPzCXvaIbD9MRfQFFMtbH5NyOw8q2mQdybdAr8AGWy5TW1JxmwYcAgOas1pHTlljoFbM
rxX4AUZP8qII120I2e3gS3b8oOGvVMQhjozRovpUrMm8AKIPQLKppBhurNm9PrOsMINf4Nbk+pru
fFoI+vWaVfNP8m/cpcd+zQJWayqwz1S2WnOC6zUxOCVrlF38F26xPRtnaMdms+zkjJVM1vG3dk0e
nnEEBtx3e1isp3xNJ2aIdl3W+HPHNbl4LcTqKLZCs/nE9SAOTkbKMSNMRFA2Q1FX/9TWJGTL92/U
mo28rCnJg6sevTU3WSNAGX7qXY7jxh8axpEwmtM1a9leDRbTmr9MzXjyCGR22dNzyYOi1glrtght
hhP2dRLLnfK0R4Q8X8YadExDzDMOOzBNYwbXsE2vC+LnspZM6MZa06GJiZ7WvGhNt9EE1XKXEiU9
x7iA0YTsXEKmZ5YzODOblaaZOO37QN9zhRIDjVKx6iA7iPt5MK7qSL5/mFk/JJORnSCfHNABu3gM
XOhZBadBQEtS+jBxeXG2/sQXbh6ckiDvyy7Z+RrtCXZfMjxptuPDPIibhYfhDqy0u880DxQicoUN
Df3JNFNzC2IErT+vWZJau0klVbo7iYroNLT9ja1M8mj1GVmnmUzHgtHhxlZVcvK8CST3YI8hqJdu
M8fQsMQw7EZ4MJ6QNyB8qg2H1MXsGS7jS7lD2SyDNk+vlUMnYegvCFrmh0bXsi+lzrzfUGASTdRT
etTUodfxhmwcM4OqQSNhQW+lbcCWgDyFYh8fb2EQHO6WBHjoYz9cc6ORrlGBIdbmS2bAPfJLA1dy
Q+GZQ+g1kva96bW9Dg1tM5jNkbRLk4rRO2ks0E40HV5QrUNNoCfNV4NN8saGVBf2cnA21jpOILcO
Ig47m51W58DUukV8U7rxmhZFxGiWPzs2o7cvF8bNWZZD4S6gUbZaKtjSqoo6Zf39Rk6xWazorKB+
5+N4jRki3Y4k+6R+cxePfNdCs3e6rM76bO6TgnjUyoeUkS4N4g7f206AQjgzen5DC6QmhB5A/OZd
URZ3sZ1YsJSpIECKnQkxI0+sFvvEzr6Iodn3WvuwZBgw2MhRb1PMlHp2afsGiTibpi0Qon1U1wen
bz+pHeLA5vIIIKzywGYs7y7eVDwWbZpf+fFwW/ITRbAH67OoGH9KPEKIcV4YEO1Gq4Y14H1MlcE8
vypOXTYi49CnvetYD/9WCD8qBJt7++8rBPZ0xHzOfy0S1pf9rkiwSD/RLQub4J9AF+ZPzu+Tsf9/
hbCmZWHrdF1I4z/L436rEPyf+P9okpji2Z5YDaP/YDPsCr6uP1YITHFwVLDd4198Kcx5fq+OIz4P
DZtqi9tSry1kQUbPGnFe5yJAnedVdDFNA6r43K2/scH7ulTU97DDHuhR2QW67zORd2Hdy0PDBlXV
hFZ1Hsdob7nXomMIoIFtoS1hlhFV/hDYco53Ru30sG0l4VNRth2GuNumUXXTzt13zYHGaPvjd+QR
VRjT7PY+enxoVucJdjUO0PSyopUaUdlBhSDkmqAdmvqIjyFD/a5VPO1N37wP0H2WIpv3wvDetUnf
xRhGOVTlwUULWLJF5HhYWR1q/DJ62lPezYjBMv3BtLtX6bGKwVfpcVCZzo1EW4cZDlcn6I0GMYt8
cwEk7FubxxinxB0W7ZsK+A7ZPMYDZqqVXJbcTQZyLWF/WF2xx5Tx1lrJ2TKI+mlAJ06eccYnyp/2
D4VoXnszOVZT74A1kq9V67z6oD5HNkmW+a31/W+N0d40S/JiV9O3zPKKwDDFwurcudX4YrkjxkMB
GWeTdhrBlyRo7Vj/PuBMv+5r7Xphq4zUDSzDbGB+t5VXHFO9hW2kA4YchXWr2SMixxV8Adfa3Ur6
vTR25B6ihrNTkqBC1QPqaacnp9VOFBgNVtDu5FVMOoRf3NSz5W+J8/aOTV0atIAjaQlpxci7Z8c+
5x6BWnETpIIwameIptDuDUGny0fd2Tg0cnyOPHeHZe/WEf2NqFBeapqv9g1ePFSHOGaz7GjYyAim
jmsOtRsjC9EcC42U7sbQoj0XfbQdCUAVrriO+VXwJ5v3VGvuncG+HaU4ytSdto6R7nE3PhWddfBX
V0S2OE8d0xNRyOeWyCZHGNo2W4xqw4CRiE4uiZ3XL6+w9WqI0Fg03fpF6yF25O34pPldjR4Av/OS
ayo0h+xh1ow5xE1MV6xXn0WrFSS21xdr9m8yizyvDtznxqvGq5540HDypurGHQvJs9J4xHUmpKXi
QoQBy4LebKa3LqrTQLT428yGUA8zS196fHN58mR2es47MHFDnrXAAha19SAr7UuspBuQKvVh0o1o
axI7yvzrYpVY44oUXAGmnTvI8HE4l2oJXKO4TtaB56wx+E/IftxOcjlGU/WWTSsdzxQPlnnS5s9M
EJGhyeYex2lozlPK4oPxFDEEZCN80oYgJXCtz2YRXyjKcUHm1zWeXYPVzMZutTh0QKhv5kLdx337
ltMMYCo/etVysnqQhw0yENZ/rHo91piNN38abfNVav15rLq7vNYuHT31DhV7sMCVhk2OilbAISFQ
14DLkIlNz7WIGaH7rNcpYU6JhRfUfUtU8xUJM9HdlZZtjGqiTRk9B+IWHQ1wbQ89i/XKqas2ztzQ
reTOt462b8OeKgk4kM+t1kxIBfp+Fy/DqYuo/I1G3jvx9JYmNnYdK0Pcodo8rCWb1daiyyqcAPQp
YM94euhsWC6MJcN8wguhsjWrtLQbHrqKR8Jz8IEmaVhN0XW1GqitPpq2riYfaJluqtp/8CPrYE4z
YKByzRWZcxiscF6lrnay8/LXZqQij8bhSqP1ZKG6Pth2+kIwVoeFfMx2HKsWdsr4fSorMEBWshvG
8sSBfj9b1XBQiFpoq3pKU/gx+HSDwYYSHwumt0NrUokRGRd55SmOHGubqfyqjYe7xMbHaaTMYxOz
pQtq9LCUOa8dhgcb4zWVcf+OlAS0fN0ASyqNGMy60mAoap+sAbkv4ibZYwG4Q4r+7pg82ypnzoW6
BF/7hA+KuWx5LTDpYstSr7rHqqkjBxD3KOZh0wCFwcSEASNntl2XYpcmotvhiHjHnPqC7dfajlG5
w0XLUJ1f+YbrrtmOJCZuOlqRne8b/EyHhI7PHA++tAoKaWRCZmVjfLWGp3gGGsaduO1WH3nCmo51
O11Grs283Tw3CxAt847Nh+Sq1pYR8Ed6mZk/osfBIC8FrZ6WOU92N+/XQbtd2bfETn9MLOUByaWv
joO/e2w03np9eaUjEiRze7lw/wNtx1wmdP3Y5XWDFN2AuOmJ6lXlaX5sMRHT4qsAFMiLNls3xOd8
H1W+86P0icteMApvoaQS6tgm8sZN1CNZrwdTY4DkAghBh40GaLbGQ8TE30VwuKkGa+RLIanQcN1v
0BK1oGhwWSA7X3Zz5d3rUaFCmiYLSuFUhqwhAJ/mfXQUzfzmaLwZungwdlnmYdqFCuRF2imR8o2C
OJAZXJ8prfeVqni9W99WGWg9gjFlSN/2rSYRedd3yRfca+4mVc6t6J3nynIoiPPpsEjzMxWjyxmr
g4jA+RJ6U4nt282hPjksNeC+8vZLdYz4yUwow6J/cdrhGtEXm9KaX2zD7iOIwTsHqTuPW0dL31iZ
XrKE3N4O6iSaI/YHAy5oq2v282L12960020vskOKcgDwMohn0SF4UAZEyCptGOD63vdYahN4MDIS
UVwJNqDDEFSgbisiVjhVnZfCk2DjZUQYmdIe6UufGp92tExoE8b8qm+BP8vew+/cVkCJrPihc1hd
RHlHpw/GqRD+k1X2tzLHMIPKZgwLkJqA7XiezKHbTZIOAenTUaNy4oFMxXY02vdaFivdgse+gYbc
spd1xLhFzP4xokrRaufTEdqjZnpcAgVClMzPPt1V4GLkxrdhbs4+NzkzIvtbC6wKYxN54lI/RaVZ
otQboHQ42YssinZL+oWx9XoGEFqxk9G78OQVhQHAIIvBtN6np9pudAjLaXptJKQBKybs6Ei+SPJQ
N8WYPuoNej8QEfdu4bPLZvxkweScVtyZEy9YteqqDFWHNRT9EVKlTPHtWIr0jrGxwqqyzp6qbj1v
Rn3kslfiuft0DEBMvGdofDJzJ4YeDOA6IGh0phOE3/BeuJhO0q2x0c0GWdaDk/A7stlzUl5OnNNN
eZmsptw1jnXSve5bWjAwJ336RU0/JgfiaQERPc35o8FiMBhbjlRXvA8DWw5vLOEldi7plHl/VbfN
rhQTFtMZ8iBayYp3bfrhUxvHA3Z7VnIfSwHwlKX9ulU5Gkb5SkJZ0LnpUz0g52mp8tyMo489J94L
HwwUYme+yN7di6n5xHGgOIMn2BbUfAQVbJM8fSWW9RhBO4qz8i3ysve0628sS2El6PRAFtMO4CQ3
pakOs3Lvp5gYG5uxfqSqh6n1D7XlH31bC4D/wosyt3Oiz0AtiA0DPwdM7arBFtYnNWRfMRinNoUE
qaRrZHd5uTivc5U43rXS7IH/YXf1ACwVvY9da6d/e9AfPajBhv3ve9Drt/rtrw3o+prfNaD4Ry3b
QgaDR57s5d+m1NhE2csjs9UFqcy/Vyd7P8E9NEw8XT7+yB8Wg9+m1MCHfD6CG5Scvn/WgzIN/3MP
Ss6fSToWnmvkAVhM/9iDNtzHlj0Yy01dY3vUjY6LHqkefvP5SU/VPoq9bxb4kiCq+3fRR18TB7YV
DqJza0c5lZT25A8qEPZ8sReS9+yOXEoOTvaCyY2T5Ls58m4BPvA06L0RqlHss8m/jKZ9VRXV3pP+
AWI9OmUaTc9BiNLIFaDmjA+Oja2nM/UPzSnP1IZobwdLXty1SdXqLCKb2Q5ng/2QQgtc0MIJeyQ+
2PCeGdzetkZ+YwO33/RNCRuAkPvnzJn30YRGcbb9O0SWD3LM4LKynZztlOinvBLB3FkfYyXTy7L0
NRJ1Pg8s9f2iNURA97QJjn4otIz4qUlvAhQ5cdj51DyI+epTT5xcaNSYb3vD9YMsVpwBNsmA+bvs
k2DVL23qgRAphYF9W1npnij5aecKvHFjdmjWRaHsfABBcdBYuX405upsCo44HQR2hHJx6zW4ZaPM
vRqzit3a6DwoPXF2s9d0W60c+C78xrrxcudYjmzgSO5yqP3t/IhG/drJzK1Zlt227aKvrfQeU/rX
Y6KZB2uOPoQloIJYE5ZQB2wH5BpKdSbb0IsPVRy1G9y64nH2fErNyT4WJVR1S9b3up4fJjQp2xhm
P6Vlq7YwNKOjMw40mSKjK0l92gb0H4jMZwa3rD7pJb81esngWunDttMW495XukeYVxbGNtBoDX9L
oHW6oFBeVyBw+AuigKPy6KwbEulxlY6alx1r1ifTukcZLDYq3DnpvqN6VAfSqStAWQwYTth/v0ut
YqhKc3daauSLet4cGyUfW+GwxO6Mg6WR1gYEC75gb4eDB/B+KCtw4M0KiPqswKBsrGU8i2l4rVsm
0mgGnnsDrXfCGmo7RPXr0HoCb/Ry1ZcTImyxdlHp3dJ5w7YCS9qN9oWdOY+E9tyNutjSRwOMYqbr
SOvGBWjUkyNpJ6gnWiurNn7W7hG2XOUOcxXhd1+XOroZRPaEkBpekh0dpaEQEswQk1NdJWGTVu0u
ics3X2QXqiLgXzIO8Wheytw/dGtaI5Hp34EKPlXaTGymJqHTGeK7mdTPA3nVmoTA2eA8ehsam7JQ
+8LcmVam8y4mqIqtPjvZnZNZX7lKzq3ufkfGfJ7t+nrRWV6jrqbDs28m+NWXsinYHpG/QUDU2QQ+
1DSQKwD035MItYrfZ0bMj5kWWrN3rhPm9kPaElyGtrystcdkcElRzvI7L3E19AUNCB+YOU4fIQrA
e2hH1ZbmKjDHKCho3TTNOQAr51aPUkWEQutv2a7DP/IvjN6P7CBuEga8PfDuxhjb88A0ap8Vy1ff
oYDraEoALygQlYQ+pxKwlrrqx+Xo18k7GmuxiXSyTorR39RJ+tDl9rvfxIrMbGyZpXKfYR6WW72I
eIipXDZm3IWF4ixkmUTmW1sac3H9743748ZFnfZfbtyrt7b9+E/evd/duYjkfERnDuGyBvfqn+jG
WHvw9ABsMNGm/ubdY+7LRAGzK+I6BHYI5X4/93WFi95uXQ+jdv1njqAfIr0/zn1thHoWidQGRyrG
pHVz/DvCzdD7k4ZCdbyZR7N1w3iI0hQ1PIRyOScx6PTo3C2ZNMM5HYbsWe910C1YDpPuWC8JQLiB
i/Kqnf1xCdPJ6BaiDeuyWtGfpmN/WwmllJR0/EtI381iCwfzYXJ06X/6otC7h7ltKYe7BIgxmrdl
8YO8rkbOQbzT2OOUIw1K/iYbkaQvlW7RCffcd2FhUBmHGKog16yweXy0mb6nP2NU0QzSsp9yncjG
HTFtRyyGrJlKx+oOtTbMh8mc+/RzXFGw8gcVVsq06MI1bPgQr9hYLfIAyK4oWR/ThwZYcx5CLcd7
PazQWT+mKhEFADeEsvb7sBJulxVT2/0g1tpKWnsbiq0zatgUSu+T/TaoskISjlvzMdLWQdUMgHCR
8I3nWJJl4K2rNJkUxgZ0Bdq9FaIrVpyu8YOsW6yQ3Uagb+lXIoY+g+D1Govt84rl1VdAr7OieusV
2mutAq980v29V5cfmbvYe3OF/IK9sfZMNpNQ/EAAS1Ttlt3nt5mgs2SwAsOEkU+BgC70Voyw9MyP
eAULowfmbbHyUgtpERZVAeOD0fdO7SMPzpL3W3aqzIia5tMdowh4PItxFz9SG4wr2DjvDFqUqmhP
/oo9NrQ4xUPB0E+uUOQMOnKyYpJRSnAdr+hkf4UojytOuV3xdQRaEdCxwpbHHuZzuQBgRtHzmq9I
ZrnCmZsV08ycBeqwy8XBpaDQA4Fzhtin7uQPxPMKe3bpVDbLrCvyF1YYNAZoTFQ/ANFDRcyOBTR6
0t0eYhgpd9GKlOZ6BoMbpcXh32Pz52MTB+PfNypXVfs//1vKj/yj/Wu/ovPSX/oVgsGBoTKM5ZT8
K1HCR1tMK2NytKKi+U1VY/3E/gpeO8ss9C6rdOZXVY3xwxLNsWoT8QVT4h9pj9du5A8kHAzUYhX7
uEjYyIn6U7eSgoumrffT674IF9ulXNhb6uV3P5jbn/+2/yn74rZiUt3+3/9jeHwjf/ksdFeE29sW
3B+bH8/vz2cVIcaxFzu97qo0yRFPijLeYAP0tpFpZGFqtg0QAEO/cqVXkmESp9t8ic4DopN7Ucd3
eUL+ph0nV6MQKGao3Qn5ZBOX64nYChkfR6M49gN+qIEOv9evxDLetbNxUUt1nhrzBjf3SaSUL8XA
CBatrr9z1+MlQqC7JmZ/15lib5yMQUHaZYwS8/4Th1mD6tOBFdYAnfJRQMyolQmunIE4OqdRW4p9
NE5u0GktXDXfYBzYL9waWVdCEDKs58j03b2b2+ZXoyCsTjMF63eRxU4Y96pGIj2r7KWqdOKTPFLV
DtInHOmomyReoCfwrp25nVlwk+8Eg8uLIZCbtek9L4ZyglwZ+b7R8Ort9WqEaL+tdS5dxTCi6OaI
jhJ7q6cM7cLfXweryDPTpv5caeXeY8ceUPmx9Vot7o3rJQczt7JTD9rBu+XzteZXe5awxGmYhopr
1GRH0tjTbazjtVJy9tE3Ou5pQBDwZe3XXwY3xjGfzwBrurK32IIgmtkahk1J7nEjYzMdW/+pqnCs
OfjFQ8LhrMCop3ibA6FnyCLn42DYDDj7ng0QP/MrZuXtW4u8appJw5jZMm58lRw1A5ImjAG8IuQJ
3y8DSgcx5yEp7f49uAvq3JTINW9m1VXVBRiSzAqGSsfLn7x4hc1SYSmGwFHJEuLcM9gToOaY8ik5
OcQMhy5CkX3X5fq2ZE0BZHIwgOyrdu+Yw2G0Shc/rtHeSaQd3DDFJSnzC+FL5a5okjurso9e3KN9
d/IDT0wWSFPctv740Onu8CQBlH5WjMLbNAuccXI+q6QP7KINskjpj0Lrd6hBCfitstBn9ph56DQm
9CqtU39v2+6jTJqPOZ2fsaQEjTmc/KnYcYCAl1r21iQuszegce4OIBOuFsakshneUbEj3NJ2+ahz
/5BS1s/fILNxb32LRK8Ho5Ob3OLEkGb28MV2kvd8cayQIXR7QrMDRndcrozCOJrSuDh1j+Az+1Lz
68N9h5LDc9GZOjviZQ8Qf78QmhDKgvxnJdTGJPdtA6tfYLeGJ6fPSEBc95bv8d4mpDWYkkWi0IrI
bxpEcokth8SayLjr8rK9jKo7S2PizbyqhBXbtCzibvSK+ezzEIkKCL3fBBOJcV5t4jiuXrSlw2rt
PvSGvCtVfeXy34PhXxX9cBf76MOMOjQi9LJSThvW17CW47FG0E/zLxtxnWnZ1yrTv9aof5M2w6/q
ndD/3+FDxjlMylueX2yL0Xqu5vPiutRiFAke0W0qcw+9D1W2QYsUT+wFl5GN8jIf1VKWJ8IHvxcz
Bk4txkk4S2TQ9mRme+XX+6jVtftl1tTuv5+8BIP+9eQ1BE4VZi7Mvfj3H0/eeNbhAgPkv65UZoRD
7s+hi5U9KIgFvOoKcwzcgSQ24NRUTcuHXqv2TqlMPHqLh9Jhmu771SkwRUHmuy9i6ghxcD7LLJUB
avomJPqapPJZ7KqF93QeQf6P7HY7UpDCfIUa5HrdgbikdyIk+22Sts8G9LUQGztJxYKWPC+3o9q2
01GvMzRpUbnX02ZvgLHOARW3hft9zouH3k1PAJ7PS/v/2DuTJbmRLMv+SkntEY1BoQBKumphBpvN
zXyeNhB3pxPzPOPr+4BMZrkzGIzOfYqEhEQIaTOg+vS9e89N9mUL2q/Ij3atO3QARtJxxnCrD0j9
a5KepUfMTkAnyKfX59ZqfS3Glk59IPdqgOiYjrt69BqmKlE13EVhJxaObEuuBf0swiljCCHhrYXx
RVegx6ijXdybG7Of3a4QjL0sdhiTzV5iAL7gZVamXxwTn9Q2K9PPYdIfiJPZsq8Re10gZM7Hes1g
5RxHyTUEUYRnWZe4kjSTpTEfg6vqkllj56Y0yqn/ojsxCnBnQ0jPwWJ6M1tkuEBtZI9xXM6pdRut
QM8itCea925qYGNxxLZnHTLq/EvuWEe1xJXjO8oXTyOPpNDnSRxwItDK2k4p5rWsOYaWfNRVskRU
+LHkaj2Nqa4to3qMYUf5Z2MyNRc46BxKytiT4Lv2PmeieMAFV10kVLK731+qszTnp0JECgvbI4kf
hk0qzucLNQLVidg7JUCOvp4R7Sv9H0j/t+G//Pf8F2XIZ7sjT0lQCQIXG9vEbLCc2TQfixBDAvaz
HR9asowWijyHbbgNi+uqx2teJctQYoaOVr//VBxAP32uP7/qT5KktoibQhiKcoGv6AYm4Ux1yG7Y
FR853WHdYjrC/Nd8kJ6xAyqPgGiAwplkOCJUBkvLrJoec8U6ho1Ql4yy1onTa692ICw3VaM7SQuF
SSQ49EQ8YZ8Y9lpiyJarKctX7WRlK7tQSlcrOnvJSHTctYNlvOZZRMwOZ71VGIZvCdfqqlRl4LIC
j25Df33JkfqmFcmEvDO+Q6+o71LfuAzQNCEF3LIp3dZVtZZ1Xy90M9oamK2RF1OhJH2WMWps1WVJ
iqFb9SZHqHC41oMMP0PYQRf0aaA644GL/mtZI3TABbarhLJFDHw7TNGDUOO92eTIZGduaOgZSJka
pFiyNXfxFB2Q67jZ6OmukagqG0zMKqs+dCpalDBKL+xg2GRVv+q8iStYXcWNny4DztZ5lNowCSLb
rRLvopidCqa11XIMVrY/3EDRoYCjU9Y2dJVJ6VGXk9VsiBKijd/mL9IvLyo1vSqB+1TN0Cxqbd+Z
ncLx2dhaSErdQtPusjHYDh7xl13VngrJHkn2xY5z3btdqpjNQntRmmLjF+Jo9cnyby63v7vG50L8
QyME04bF6IGrLTpmlyjS1uWhvO83087cyqPN1rN80/sF0tSL7Lk//P7Fadp8vIV/XOrMURCR6KCa
5jf34cWh+9hZzHz0onDJmjnqy2KN81w7KA/WWl2pd2dleXzoVjQluxf+lZzGo7rYh2vvZDAy/Zt3
83nj+/5mDCIlTDCjHKPMn3hOo9qjbNai4BSol2CKF6H6UHXfj75/uaJ8XrP+/BqzHPHDB56qtFWC
AKBFXr771dYZr37/jf7yM1g4Hay5j0aL6/PzI2bExhSWbN7KZelwP5jUnN9XqP/z6UPU31SVbznZ
daEfND/97//c5in//N/5Mf/8O58f8T+b9/z0kr7XP/+lT4/hef/xuu5L8/LpfwjpQ1p61b5X4/V7
jVznh85z/pv/v3/4H+/fnuV2LN7/+z9fvqSgTcO6qcK3hm/m+5/tvvz3f37nlRnsIH99fAeG9B/7
/KVsw1+0PueH/ji+wyYDggSylrkid8+8L/3TFKNhfZEcnhkqWmhiud5/mGKId6eHgJGXSSTH3o+t
Twt7PzfItycjj838VxSvNBA+3XNgyyjrHOz7tFEZRVrip8sc7nc6DGKszqPSSdy7OlZVGuiZHTHV
CbJzKORFGFjBSZoIsTksXpUjBczkq9eGJ67jqn3P1QL12BDs6I0eAktbd0RYxLq+VLppn2QYYzLN
nXTg9Z0YXuESHdWEob3Rpidd2GvPt5BOKet8VK5YQe+sMXswoe7YXvlu0+qqmEElY7aLcWkGijKH
/Bg70w7uKyQrGGGvxjg5tWRI4mA4DaSGUI4NR2lPm1lg0Yf+nYkoQuETrZKqf3XC5sIjxqqpjGei
Ojdd0+wzTzLXBA8rypMXBCcnJx1rQh0WFKcW34qRs3IP+gOohm2gYbAZRyRMkJ60iFtLW7HZgaCZ
3EDtngBtXwZBe+H347KjGSh6VPGJPFWcG0Cz1pWjr9KoR6/Qtmgb7Be6dbiVxQNJpDuldpCZ1Xji
JoKKIpeSeiGLivYwYiRvCM/zhhMjoNAiBFR1up3G+jq1m9dMH06KnZ0Crzx2Mt2aiPcxaWzbktGg
X3wFcIJHFvOw53AGE9dWgGCflLttY2XkTiXgLVtLoaHKeu/FL0Yurp2ClO4QglzSWudWaY6+PkN/
ul1FjVtbynXkUHSr3j30qztMMyDaQP+g7yMUYdZweGq5tNLyIrSTOVW1HK6SEcAL+ocXq3OqTVEO
NGbNFnFt8QCoJFiQQf9K3jQlblX5arn63k/3aruKthFwqh17ehWdxTRBeYiEzIxNV2XMqbSeX3+o
d8Rsq6ipaOyAd7yO86bYE77aLWvkhYhrgT8N5kSUNdmwNIZpaJBYq7ueMUXXuqZvYqhNjMv9bZRp
9QyOsEGPa9OSqOVpidUKEVaBCKmxVSRQVi+g/2SmW8vxJhRjCU2LOZNn4HqdWkSwuI+Jx/PrOwbB
FBGypcWT6FehTTNlou9uohh3lBns673R06DbIM6Tbq5FFcNVitHN0Q8WiffOEO+CsKsHpedxF1Xb
dCv+LmKnoiVxTvrkl+dXeo6pGbGYyzS7WXgQD5cTsj2KB/HqY99fqGjtFkVdtm4tnBPtX4DSQ/TF
UdhiO0GOBMLz0o11+90vnOds1O/AJr7z/mka5Wq9HEdO6kZBjRSk1EJ43ZAkxMjjO4KAiqRyyRU+
d0G6p6C8F8P4tbVU/CP2HusttmKlXbGz3IeTviKQuTyNXl+uOUOSo9cq8iJPvBu8QYTdMmJd6d/A
9AJtWa9lj3008S2X5Crnc3DN0FcuraJsHcXDzlOSTaQ64RL1FZmPDGGTZjgD3X5F0Pc6iI5NbwA6
NVmScNjO5JEJk+oKTVipr+0CG1hp6Bsv1x+bkpkGyxSzfibwiMwWrQwfR9/gyRXxFnpl6koHH3bb
vCoIv+j5cMzzVLfMvAcwrhihmcNPOpWriGdpgqLPsrkW5HNxG/Qk56jRDJnDWE4spPdI8TmTzTyL
68tYI9sgxMTpuUXDGKFczm2Jc4d5hGF8TVV9AKTkc3DE1RKizyP2r9yF4SR5b92+sOvzkGI8pG6m
uWGAqELy3XT3marum56jdKLQfwwJ4VnAmj3GgXrT+83BzIJbbbRwC0co7auIg5zoDVcOyjFk8L3I
xviuCgS5OSlh9ZgesFgH6KbWiGv9YKnk3qwHp85Voi7YCaxepPUhZVQxG6oT58Ix4/SZ1WmOVRIt
VDxeFSkSTEsbkqsw57D9bQv+dy2iUSr/dS1y8fLl/VdMxvlRP8oQJrAUszhaNJ1cWHywH8oQ9Q9o
9swR6B7rZLzyRz/KEOsPxEgOqR8ce0H9fCxD5B9IpTHe8ABDoyX/L3lzhZxL3Y/Hd/gltmVBK4L6
D31gfhMfS2G0JWOtN5p/9pyU1jpa9aYGvp4QtG40yUMRKwgCG8ediGK35kz2LPVpI7SzGpjsrA6+
hmNySuth6FvJYQCkv5hwx2RwrF0Nef98dmQls9FHEgjPkkFeReg4KxEWb1qLo6Cx21ODnqjTuidJ
rLyGW92cc+ZZt56lk7gKjcx72grqNqOT5Ke9t7S8WRrcaPm6Jbo+D0Gh+Jr+BL4rc8uQKS1CcWZ/
ihTrofG+dn39DqaVZGkctSs7h15Ix/cmjwM4kNnLpPb3iEASChgffYpJdzlGZWRKxXRbkq0XhRNA
QrDyV9uM3gKrOqWmKlkm+IhtRfpqXWiXxI25UeJfoFA+YJ6AG1SZxIyE+qUZRZdqZpAqFSYNOBL0
uwmdjo0URbfo6v6NmHpA1lobLuKAlNgpMGEiqdFt142X8JAwOKnkCdQGzvw+dW7qFKFHql0BtqiA
agjAk850CBJnHzQDnJZABVMQkFbZdDtfKxBx5hQdsIsAM7QmMJGwhhYRqNNdHefQ0HITHA3iToy5
jbGHsxutnXj4wqh63PtdACAxU3FrppG9MZAQ4SswjrLUdqWwC8yCnnc1Khnq97Jx1qPPyd5JCGzy
lVAuszYLrnIJi7HCBh1aNNTK5xHc7Kb2jXkyH9Ao9y12z0KsLchKAHKZkMvMWzd+Oa2QnUNN9NM3
9vh0qVn0kGF4p6sk46A+pN4zBIqd9KviIowLYs19YyRJNUR7jyJLnYjn9TQQoJms97peXtOEDnCZ
EI4WDSYXZAtDS60B41SoUpZ+O721lQptsm5Z8RWRkFuVOfAPcmsbRjowktG+wP7ruPYg36uig/fo
aCdCxbKl0XAp018eXL9D61f4zMg0Rd4QG/zcWXFE7h6zptq2km1TD8my9vsbZfTqnUcHGiAmeXEp
OC4c7Lh6247L2LEuPRXRWSkSsSVA5smJ9Fc6rxtLGZqVPtQXCiQgvmebzL0+c6egfB0dMTMqLNiR
We3IK5zcDXrhifkee8xMmxgquBNG/w5I9GHwuef12M4Z5KCQGxHgjTO1AhfQUz9zLDybytKb2Rbg
wO8Hev90abGKDji87JmEkc9MjBg4hp1DyejBZTCuInBjJmhoM0sDVkeJIB2+BsnvtxPAjUoWGI4g
cLR59jUEyaEbwS7T7UNnkyABsmPC2qfTxA+U4EKdmR75yICdaGL0AZW4VnOMdtrMACkxh9kzFYTG
9C7/xgmJeeOOv60BiCBW+CoBirD5zUsTymwvHfeIvV70ueFUarNcEg8Xxp9O7kOixOzBH7x2GVlN
8wCKpmPzDAoBxEep8hujb+t72uo9UxKdLHqp1l21NULbfPbj3Nw3dZH4l4mf+PauKRXx7PlS9y4i
E8BB6sSN2zreg8aUZGUOGD2InUjA7IhoKzAfrCi1kmXPdbcySSZDqKk+taLdToSNLBhZbgM5eRgL
sdVyrsJKkXtX9jSdh6wlVS6lSgaqcJlIn5YfJ2I0+SHLU5zoq9aPvvqVdVVBuN0qvbkeYVxvE45u
SwsII/MmZhvdfWnm+CrmAaMHN9oh6LFUp0sHp2Abj+ayKNQXbWAdxw5H+EB6rfVasmwar54hmSHX
mnceY1Vfjk0Mb9aPhkWGciXeZTlN69rIXkjxDPCiteS6yfAYxtGrbvesBtSKgGqyciwWk21uPCG4
DxPEJpYS31IxoeN003g7ezmzCaooasjOPvuaiWtojL5KI9hPaUNzH/gkTrSVRvNoodkQ5JOuxEyS
9jfpZAxu4LH6VWnqAyoqCENEKIjcL4SqDXl7FDgjO1Vbpj0aDF2W12FkogSqrKOHyTOv1XBZ9rDw
8GLeloF+EgEQIdNX1mZV1UvHyhDU0ulOy5OCLHOZq/Ihsru3qJfBph+SQ18M+YL+8MErpgdcj+hD
wvNo5ulSb+S+8KhM26hYh466K2r7GWUBSCcVv4tUcg3wr3bMjNBYEkRJaQjNkjEZaCXoWLp4l5zp
1v3EYmvAOo1ShErAHMBIjQNmgWovGhvsVQg7OKysnQPGbOFAkYi7ibFyeEPkF80Wa6cTQh4TKNXl
yn08Z36qJGVVbd6w3HTrVPPfI8fZmn2+yxX+1Cvsr3jgvhS1dkj1YPPvevK7NIVW0+/qSYzcf26I
zXL4H+XkN9QL7Q4GLkhTvinl/9nVAvWCUJ6YWwc4B9DK/y0n6WrpKgAYATNy1ox8EPRZf8yUfuB6
BtMVgdDjX2lrwW35uZy0bPTzKPbF/C54ws/lJGQo4ocVdTobaXBfGtQ7CWOTRVaUzDKmdG2XcqNx
EZkj1LPBuQfrhoa+HbjLHXkb2eLCyJtdGkWrsrO92rWsFMBFyKT3LskdwlB09cpXsmrXsBA6bpZE
yqsOVQB9nWZ0wcECfU0meqZ68GataFs37HlpG7VXKsQIN2/lTR/Pc4NuPDsmSSlDZrhFgEmmHPLb
cVTuczO7w3PXLlSdNVmtqC+U8RyE9l6zDHcM6rdqwrocZ/3Cj9TrItIvWRbu9a4mRRiR/sJr5glk
FVM3ZF9HCOOEumlrT0C80CFtUdsO56bSXvDODa5Jz84lJ+lL2aeT26iM053BXvlqA+wqDwC+AQUk
ukMR467HBreErXHQaAwZHHVbLThMrbVEH27BBgmY1+vdoeqKh0B1nhRh5eg6jKuYnODGTO/jEB5h
FU13TdWvu1YrTpo3+7fyrzq+xa4Kr512rkiN9Ihfa6el431ctwcl776qFSWpqoxgrQ2Dk3WI41xR
4mZhAJcua6VYGoFcKmNOV0dnWmIyUjjr6BZRuZWMxpoes1BOSu+c4pfjAF+kaBVXdhzT5RkKDRi6
9RaM/j4zwMEgXMYgO6DisHVWLGPbttXZSwiAMphzYQGvygI9pWzTTWMmHCjMJN0ZTbWsa/OiGYDB
GTlt0CDr1kL1XmP6GXEyKAvRUvhlw4svc6CE7EV54iAMIGq5x/lEroPyosJJX1Zdw9qKQ0AD6EMY
mH2BBIzmj1q3a70N5DHpDfI9s+omqJGZ6E0KoEP3586OE7lT1c6x59OyluDXks5CLZ1qG+bG2EG5
/k8toihLETulrO8Ri23VVr/vO7y6flCrblPrGnMVPToiZKW8IyMGG0BK+m0XKYtsiMTSgHqwGTVN
PRWDQWdLn+vTuNs4omAW5+/TGEDZUOovjFhMUDBjeMb50i8dcnZGG8J8AzsdDWdCVGv2Otb5Wu/C
x9wnq9FpQIUF/J4RrWLsWXIRDun31f3T4OKjrOyn6YipovUlAYC5CERcQkJ+OnIWBvHe9EW0c5IS
fvsFh+/fDqV/8RIOp22oWKyRKkKKz8vQWPhDHdHcPcf1axtfjsVt5hz/vUd926PmSfjv9yjgji9/
3qbmx/3Ypuh6GCpkMYTl4h8Tln9uU+ofhmMa37eveYzyoekB0FgjvuIfmVtcFz+sXhaKdIMtDQ2i
ENbcKvkxhvqHfuD7ZOzXegLijX/epRgBIiugKwPRfL5CPl8eUaXEujXpwTlVwe9cBFinngdNDeyd
ifPIv8yplPdTW8pnGYieAaGSwZzqB6V/qiarvncCkd84TmhOS4JC+3xtZFbzUButxvmBJsRKBrio
RKjcDzqLDxADsUx0+PD6IHGGZpvW185tJ2/9ZHzp/elFD+joMWyXtZ2uyFfa6AnBBfrIuV2L5Wro
PPJCqz2Tbuj1NTwnxGE1lu7xJS7ps5c9gCmEUzWjbdxjIxKgJQiYdZLhrlZm6KvZOjvhV9DUe29b
pPJadOZ1GkrNjQ2UOt5wgmDpu07HvpSVN4WhP5PHYEB+Za8AM9ouEMITJR066RJdIWodYeJBsY6d
XT/qKdGEMkuOeLQPbQAKsvR02xU1xhVR4XdP+wJi5BRfd2VxV4qpuDAqDFoEWWh4bDjjVrhZIRfO
lKkEfEBjIC4cMPAfMyTYk1U8YkZnnKCphduq1ftUVyNDnQECfN1ukzraYPHdapyyYFpGHGScpRAg
52mirSlhMdpGfAdE5GCD72xzG2b8l+iGdpE5+X0WxF8op69sEbh0pt+0OLiVOWafponE0cNcBA3r
KizmCF3TCpYQ6TxM0vLoz8zoPBHXgZS3ogKSyZjoi8yzw4TsshhtZG+qzcklsyzcbnm0yP3hwGhj
2ag9OLI82yQhhm1dtLAZtA5CVXYfyRqVEbnea05cK1k0N4xmGLj1VAGBaq9FaXWndm7mWGNtN3DH
dk0s03vkkYNbxe3V1LGXmUYAXYY5RamAcozG9q4ao1ev69ETBPTGTUC2BP0+MO98tDx/qVOQAPFF
sjS/DbW7VkYywLzpnOBZp4mFlx/P95ifYHscEye+nEaJAZL+QRaDpa2IDFkIjrk7tRgPoHCQD5jR
MdeJVZmDTQLFflCgEi8aE5i/Fg3eUqnCddzHJ7NIz4ZTHYQjL7uaXkYzo9p8SwC9LZ9JsXUDU4eS
kjCAzK190cnzGPYG+z+liYMErispHr361o6sV6kMF5Vs33Uvva0ba6dZ8hh1sbZTAws8eOIAGc35
HVDTf0mYXp1JEAGXPiSgrTJ55sPLRdMHj2UFW1BT07PuaZfIPtalE7+CCVraUAKAFkDASo30smlz
m6MZZWfaZA+BZNTPtqkvFDVLDkrSFkszgCrqMaRmJJe+4E2IVxB+rrTae0yUfFxi0cFrggzMsadj
kjUXrRbTjRFPvUxfqCb3k8mL9kBMi9BNGCIGRXOuE3UjDDAcBZmgoZfAUwUQkwkbvASUWKHPiXwa
pEAz2DM1MQ6hVmVX9RB79X7otFngmHWLVDcmMuxKFKeR/dCmJDD4eapx9Eftty4TtdnQskLRluXE
Qg1CvxxGsUfXoJ0Cbqwlv7l5ziwqE7Mjc4tey/AwlZl/XWGDPEQCsG/DV7DqEyXZapDYgEVTQi98
6D5MPmQTbBvFwMWCwijB46JqayUi8OXf2/S3bXpWDPz1Nv09M2rxUr3+OjXq814NJhArA/4rJBEq
R7oPe7W0ODkCB4WlrgnOjT8mFOYfGrJUfAxydmCrAnnFj82aOGCJ7tompEBwIhX/Ur7bZ6nOHO82
h8uhugDqjNvWmA+cH6Q6RkAkRjOm4hRA/apPw/D04Wv5hbhQ/DmVygEUz/iDaYruEM8wT0g+vELr
1aLxzKE9tZO5Yh7+dSzEKfGia7NqvnJQA6JXhW4qDE6wSrbDzrytymjVWoRDSkXmm7w3NplVbZUa
iHobrEVdfFFwOCBxPjI3HPAYx/1iCpKz1mlmjAG7KY2zn9Y0m+amms+XyEJRpuPaANTNRqiau4Gj
BbNqFc5fGkjM2KEFWClMvuAeAP85aclK1OCoKtVXHiOSalwnFm9tgKi80cDICyzXBxCj2KA1+0yv
TyHmqnp0Ksx0dA+YIQvRX0ZDry0MPW/WWkWhMlbZgXPgMyKSI5JHVod0PPassNsky7fYpSe38spb
z0w2xhQi2PMNnGfZs6L2xJCK4WsaK2fwyvBkaEquW2G7zBRurAhYk0qMTek8x6qyzYp238CdgPA6
Xg0xOm0YLgt/qlzMZvvSsl48jVKAkQTGCsVt4/Clqb2UCYxYAGncEhV8ViYenvU09vSnOvZZ5yxy
Mc2jyErTrfTuImF1kxy3qwIAEkQJ8ITOfUSfl65qcll5HAHrKTg0ofqEYKBZjkq0F4q4xT2A620C
y2NM4iaEabwM6iFYtXa4GxMULWZkmmwgcqOWIaQaGT+3AkSsiq8XR8sCq023Zky+H0icckT3IHJj
SeT9SdbyqW6mcxxSMKSAyVsv3ViiuwC+uMvHnnTV6CHo6IekTr/FH3HE4nEjtZyRXJQ86Fl9r3kW
etN2nVdyb0/mWhmqZ2yFGBQbB9J4/ZTz4RllDBtlnL7EFKIEKy0rz3SNeDgWiLspMfxiIUZIG41d
A2e3KGWk9cxdwNAkevI9j3qVrslaaVsum/LrmEdbG7W0MIrnuS+tKOpNTSsaRX/k0sJZqmbyOsXe
VZySicMZ/kgGYAx8mia5UCzibHDxF/DV/NCHWZOmr44GrEfBDbiyJ8sEJAmrJISW7yqFBppP3kSO
eGyLGpW2Tu2QFPPdE/U3qhYdlJburV4iJDUhvcyY1evBph5ugesfsFODZZNGvXISGhk6USGrviac
odHlKjTlvcoQzHVKz36FedetAhqp9GULQoPAC3X0XtJRQXiDtjw8DVVIrClCUBepRgvtrPAh5pF5
FSV54AqmgAh0FHXVTKJeZI0XX+e21BsgruqhkIQQBKO+aMrq0CCMKERR77IWeQ4eISoLvay3UK2i
lR+2R+yoNMnjAgU9VklvmEiZG4BlIuMtVnlT5pgNw+RsJWpCbaDUVHh8Ys8r3sxpvK8848WKyy3r
20VEX3rpMHV1x0Q5euhqZvWNuYilOVD95OkNjS2orZrlJQ9tnF33XdVj9ZEI6KmPdchnkYDzq7Xg
T7MDYyQWRI03bfVXWQvxpuBAwhq190tvC6llJuZS1zdH2nBkRjGvSdSHmAOJ0ar73vGSTTbEzyLy
zEUdzqNPTx60Br+BJ0LrtehRakxTWaNVp/11G2spfanQ2BgWBwxjQucb2FOMMCOsLiY7Phl6sY2d
+korJfPSul4MaQtlsDddlrydzuELzLmsdsnY3Um47iS1L1sSLhK3rnAHjfBoHdacdt+rMn/ORKOw
/ipomUlEH1siCXk5lM8FfQPy9KoRkKDVbcHTdZsMsdWGpT948EpeQW+T2wzQBtG+qrNvxyraQ9E4
ZUjYlwmn4l1LMBQFvnULIBfBjogEcV56XTJr8Ly1GZe30htv7cycHicvCyn54BWYHAsXVj+smxEh
R6F22QajGdM5HrioOrN9rMLEXg/2CMsN4A75XyJotgI11CLui7VBre2Oaf4kuwLoBeofa1y1dX5W
R2sfl+OdGkSrLiSrIi+CuzbRb+22dPBoDR1d/ahycy8ZZzRSvyhU9cmA6e0agygfW1lobpFT6sGq
jK/JiaAj6RmP+gA60tPNATAhZ66oVcfV77fnnxo5s/bflhqlhmOZjCUkTe2Pm7OeptKw/Sg7NTHj
1QE9tOyv+qpe//5l9F+/Dn11c5ZB/7kIaCwonX6QnVJsQrXU71iVLunbPbNcVot+dPgBxmTbDQU9
vHhb68ERcxkHzOzASnU0YYJEHCEDr72WpboyAvoAgDoz33un54wgh1tATBgDVZ/Wyj/rul8UML98
5+g3oLTSvgcK+fkbMtM2Dxsnzk6gGxf+eKtGiObz782uv2zZfTPi/69MhHaJYzk0SzC28g2ZXOif
X4UUlIJM6rY7FTQpMWGInYEbfqF6JftG15kE1nSPoJDzqwxf18ggq7d7gKkjiBbPYLAbpetAmdqr
NjCcm4xdqc27E+qThLsEy4RJhtPCzP1TCAp88FBb9Tr3jUxpHI+OOV2bWvISNwmwEj/cTD2HqlrD
jUn3F5+A8aZU+hrbZ7tkVZKw5BxtmZfGJgqqmAwZNBBjILFz6e/g0l8Ga465ogk9WMnFOBFUaFmj
gqKljy7UoIDJPDAB9TVUfYEDME4L/Xuv1dLbsjfZPzTy/dLCXGPsa7ZSw7CQs8VpwEvGyIpXhaqf
0drgkJvgA2lGcvTUlxainGntWBefbCUh+aHXtmMknhIDfFxWZLh9gA4Y0A0mQekxcJu5lo/ydlDS
bdVgG0q1Yc/B/AVgY/BGHuFGlQjjrCS40POZSFuXa+xI6BaIvEulTHBjMgmV03CAzv49r+ovLwcU
l/zeP18P3JDYfr4Jmb9ZCj4UzZ6h5LgHTVKXNf3FIIvQnYouOUl62gvW02e/BpeW1cFSkwPplUm1
YEW94Fuhjx3gt6NXdQHqhiRS/cLM7UdDQNCrU7NE0KMy6DdxEfkhnfzO7mz8giLd6mzqbq+FpYuM
kHqEhUhN82xJeM+Nn4YQOIOanhJzesar5Txygv4/vVW5fHEImEJflFvLKtXvJFhUUROHbAAek0Rl
LivyMJDzyMfIlmTQ6l8IsSCbqGcZgCEvs+HWc6KjBbK+JARIYv+ZhgL2pX4DevcijoIbYtmvSTfa
yLF5ZKohFtSN6kqWLbVg2UERQFNqz6AGA/cnMdHsHFJ5UbgmloVjPGmG8qgF0KNK0GarwAL1M9EY
UoZ8pYlqo6rRzmGmTaMf12Pnihjtn233B4txSq91Nds8VsikuTWIqnaI66jz8cXoYZIb1UtmIToY
eZ+4NmPoL2BZjlYm130u3MAKkaZkzHWc8CoulHg32tMqr8eVTFAZFRQ0ufQ5l3AzdopzhbHzKxia
WYyA3LKNSKNpibKF0qT7hA5p8igJQwwNxn22BnBC+BPZsVSocRscFc1bxVqPcbqZ5UGXM77RD5g+
xMohZRdntrW1teSpK+g/ANykZSlcDT4wnY9+3bC9g9KhA6iUkZsQjB319mGK0Ao4YYFi1e+XNWwg
RF7aOkK8bvb2pWdrWz/DjNqXx8w2qXqbRDknRc+kJLH2wu8PjFpKukIWv01Ba65Xo21Q9BdKzSkh
gSNopKscdh1M00tpriz0Jr19AlcnSQFAimx1D4WKHCZVLyRygNXgiSPOVLwywO4Ord5Zy9rUtKUV
YZHsu8ktqBu2+UgM8CitLbMmBVYezUpGl1ifKu1vtra/uVONn3rdeuCMkVPE7Umy73f1RZoNy4Hg
Tq8/x9WFxonl9/sRB//frQzzrPnTjh0EGacLVoY8fweL1A3XMMcy/xHZ9u9faEYp/OmVaDMLLEtI
GIU574wf1qC+Bk0UqR2ta1DYqyIc6mXo6bcmsKtdkCONiofuUBRgYnJN1S7sOfRCRrnCYWJSVz3P
S0dZ+SpU+4opsM3gs71Xwvycq9ZNQvnGqWfJNO5m8OvBzRp/nTbhcxaJByVIimu/RbdjBgFdMrM9
mEwsKSxWowaMixJvkzWG9eDozk0xIdggVKA1ml1o6IcJt7xZOOc+JtqWbRuhyyHWZ9CuMic9LZmG
PqRFtQoTb9cXuJwTUI2Mb1EposRJev+pHJzqQfcJA9Brw/+bb/Vzv+X7Rv/xS/1pOBdLgU+dwJ+T
PTwH0+tof8cj/uXW8XfPP1+uH340VUmokfE9nkL7BhjaojTu/uay+P1V8U3w+uEFUpnGaqz748nU
L0PmC3xNajB+Fzz/5aeYv4Wftz+JGRUJrtRmL9HnTzFYNQJLwadwSPxq3po+pSa5Cwfrb34N/fM1
/q39BeHj/7F3Hs1xY+m2/S9vjg54M3iTRALpHY1oJgiKIuG9x6+/C6quaipLl4yKO+1JV3RI4mEm
Do75vr3XBo4/218NTqa/DjQiZKQ/VMhHjjGvbGrLu8T1loLTLUL7YZEtHja63e2/34R28G1wXhJn
/M4bXa+VzeffqvyrsOOPefFxw786AFpdaBUWydzHxu2WsDuc4bZdkTLhWo5lJ5UrrfieXXLGF+Ii
cCzsEI56zF4//y203/0WH2fnvPh8eLiJVyemDM3s+DhsZAfbuWudjcWpxvayXD1o9l5fpivrGLjD
GtPu+s5b+qthzbq3mFbEgaBoXMRLayns23W2qk8Bdv+Fv/yWL9qjaI8rbWNt8l2/ru5T9/bzX32O
qvzNlPnPanX1BQpyHQIOD5mXi3xRuPVb4RZ30rK0AU4sybpxoFBs89X5de+0G9Cvgx1tMT1soyPp
LbbnQDP54dnfPv+t5h7tZ7+VfrU7hJgBKhR54zHYWIvAntaQUe4y+lY4IRb6wluQ0rNIVpBT1/Iz
hTTn8/Hn6fvZe3S12rDUCGNdjMNRnHLH6PvdJMTHrgVJ+/k486ry2ThXq44JLxkSbjIeOVPTAn0V
h3Wvfx8V3NMNpSj389F+/6j/Wh2uK8pCyuKvlVF7DABojd5N4V/+bwNc3fmUAaqlnnKBItJRjqgD
Wsby8xG+eDDG/CJ+eNGEtDAzY+RFy4tjTXu3kB+n1vziqXz1PV0tbrVE57YzouY4zE8FtZU1RPb/
7XNcTbA2n+oWH8x47EH0h/oxjQcEs+fPB/lidhlXq5Lu+cJIcY7dgNgC1cqcOGlOitLadGgJwpKP
HY3Vz4f87fPRfhpcsY9Yc/vl4/PBNKJ4Rdi0RzV9ryI3VgKKfKvPx/jt4/kwxtVLQyBXLZSBOhy1
iBBK8ZKmX1QVvhrgaklE3TwoUV52R5FFm2J0jN3784/wc3/87MW/msdBSNPHS5jH3A0WYD633To+
cEWwt0C3Hf/Ufulfv0q7+/ME9dfbr8+f+sOrI1H/kxo5YI96pDCcsaqSCb8ASfgi7adNtzhPBDWx
dWsOjoaFeREWN40z7+rnp/KsbLm1QyJ1xmaxzuxg9ZW9/rcb+cejy/XMCatelDxeOuk0b+TCol4l
6iaT7EW8UpcP2WKLE2D3Ln7nclbdjzvEcV+sXvK8PH32UK6eeyfUelBaI2eJJZ6KJTFXsr6wdsny
BjDvXlm1yyfCSxcZFVsXv+rKtIUvVuivfgXjat+Dp0VGQF80R2GXLwaoG4voB0lbS2PXvg3rwkn3
xgrHyrv/pNjDKj5B6n/7fGr+vHh98i0YV/MkRmep1hlTs3IHl4TgRTif6jaxfddths0Gg+diOiJT
f4DRs0zdYmWc20W1bJ1g0y+C568QFD8vZn/7ff7zul+DF0zBojeUsaSUjrrSVyQqD+7kTvtwJy1e
/Y3nxra5KdYU9fYkgtw7JqcDMl1XsXsbLudDwr8PB/91Fc6z8a8S78xR+DcDYQY1/P//d3irXt9+
/EZfx7/6U18H3ECcoecaZChWGoM/+qtnL/0L976uWjTnpTm+6z89e4CGaOGwExJ9DuN81pX/2bPH
VYgo00ATpyC0YUP5JwI7GkS/vOFcW+jX6zIJhOg7ZQ7sV6+XIsi91JRxfJJErLhb4OOFSFBuqgo4
hfDRO6mO5Mtuy6i8SHNyCRhAqBxr5r3oRatstpP1JOk05rdgpNRWhN2dpKgVyGm6b4/e7DDRG0Ic
Rw7cdvrTfjI3COCorgtZAwqESSWPx9MgEHSNAODFM2QO1VW8KzC2ZPoA3AarCxFiq2L2vrTm8A0b
4A8dU0yh5PwAZSrW/qAhlDbztVpblwYrTZdXM0UgRSUk4bMp+ia+97DeCKqCgkscQZgN0snEntOn
sKvpO4trf/buDJW57nQwsGlMzIkuP6mzz6fPx9bpZu9PzjbooM+N1gUhz45VGSY1KQ8rTxk8tnHZ
LDOtiFd+jEBmmqUyyiyaaX/qZ/pZSoNcAFVN+VNhI89im2GW3QSBCP1gluLUsyiHEFb/xpiFOvos
2cln8U49y3jCWdDjS0h7RjQ+5Sz2CWbZTzYLgPQSmg6hQLUb/NQHdbNUSEYz5M3iIUzULOEBmq1x
lhYhv0ZlFM2CI2+WHplFNbe+rBGmN+LEMtyqBuT4DXZzIXblPiaQ1Yil71KpqMuWGohRRtEh6IhT
9kzMoZSAAyIhFxQSXVFLLyrRiL09jDlo6Sp+w4n6gGl/n4tYFFOjXyU4kGxD0w6VJRxqaHzY5sOl
ViQkSmTbQq6eZCHeRz0QglJO7xQ/6J1mJvtj9JF940gSHZ6qoDFifJsj4UiK0inEfGpBNB0kDS68
GPdOXET4bdTO2xDnvGnTuWnuYXwb0NM56eS/TkMfovviElVYJNLlswhOA6Vgk2z7SuuhmhV4MYli
lAGVYHBaqSH5BJ7D0AyIPcAbILGPMP/TVSB56djofbo0RQ0TF7VuzDk+Jjz+ZjSL6yTLMcYisGNx
du5qFgv1pHarMQjZ4QeRFJ8eEEKF43EsAAOKYrPTwwHWvIZDLEzI8hJT+VkfED54Y37bG2AerJGA
Fy+rDVj3GJ/wuS1Q73KFNoy31PN/JDkaU94u0og4qkRCdG6RYzAHZEcS8SS09UjdVIIinuW9heNf
XpBN6C8zsWrI34X2gAbAzyf8d5GRx1uiwvK7n8vmf/cPmZrqZ/tH9iN/DbP8N1sI//CvLUSGVCvR
wUHZxaycLeZ/bSHq7FmHs0HdCQH9hy1EZd9BTo+3B+cA0q758PvnFmL+i14Q9BwDM8Q/guNo+tWF
CoeABoMHYzqVNRqP18Q3g1hkE8K2cJKYYMA1sCCr05vXw6mItYTQMEV0gVK61einyUoMi+rGqlLh
IhudoODCyDPjxsfcai4sglOXpBpVD3hZjfGVhDViyALERLJMAmtUzqmsMswafybmQ+hQV6B5KtZr
0luHJhycrhAst5Lkx6yIxVe/JO21lGkD5wEJsJA/mkU3p8I2OX9XMUqV9B65ei5+psfOObJT0Gnb
PjO2UVQpix4euBZgV6qJn23l9ns6INLo5mRavCjQt2efCaG145xemxqagza0O5pzsm1aRb5jzWm3
1UjUMogHBY8nOLPc9BfKaMWOiUZ7Ic+JuRN8SLmhhR3VRP9kY0NTxSRhV5IeQhW9BWvvMSz9ALCG
dYkmMCUEeB1GEdW6iSq2x5tfh9BjTNRIakOGiTmn+xpzzm9j9OE2M1CRaHMKMO5a0am1ORq4QiuO
lpa84K4A+MpjEU7kIo0kXFhs5cigmpDNRSVxOO7y4TKh2CUiUI0vA8HESBKCtTVnFXtoTEckblPo
omQhM5ukjoTk7znguJqjjoGFYAoDn2QuMVSThRwRswgXPSu8W9bWYtVFUSE6TOxsk1Vdh46VlGJP
F8xDqPY1m5TlEaDBP84OUtl6F6kNnpIAWVeQ6S9+Rbe1r1kaMc49xVLjO15TvKMwT0nn8PeJF6QL
MxpPCWZskpvS9wBOCnS85oROcbRTtJYs82ZsW4RoAlrXN1VXGlvCEyS7i8bbIJpvPGm6UgP+x6pw
Aw8axRV17Ak6RVvR8ws0PyNQq66X1UM3pxSNikE2NSD1s6bVuGwrXMwiEhhNsWUEcMsiSpp9VVog
CZhoJ2jiuluVWrnTVTZyIUenWM1HKnNqV0qQPM/GJKQ4EsK3od72Q6osks4ndEP1zCOp666QWj9k
od7rUXrJ2/beE5RDXRg0ZmWhOI6UMjeyzvrOIr4WNPr0KfsJ8gPPc0zzrRGGXZjAwVSN/Rjk7FBR
sCoH+oqctvjMJ3PMaKMj6uyEnSaF+zTApxq2mnfITKznqV4obhv4t5z//E0ZJBswKeu45CGZATLw
PoQFGaFew7/+4rc9b6AenoYu77D0ocMWmi61TaukAZ1srEZzzKp6SSsI7kBiiUR+142QpSV1MXS4
RUxQRocPypdx9GGOCopoY3TqzuoHm5MsuMcGHCJW3nszEU/o9e/1TjSZpFauQ86w9K1nTu9FKd0A
gNoYrblU0tTRm0GxxWDY0V62UUm8BLqygovk1D4ivEgzzzUaLDOXf1gx73CaKG+NNd6opF8u07I4
jOXkCrFqFzxjOJ6hrQI/BVhqd5OILs5LX6dxvOvn+SjF0QaN03nKh1Nq0hKNuLEN+dpIc/J4GJ5U
rAutv+NYjrYM2jbz2qVgoj2fhBU+gbUBOzItorVeD66gzUhYOXzVTQQVwKoEssdjAjbHIj9lhQie
ScxXFDkAcLb+WW6Iwu789UB8UJoLe7AV7piE2IrJeaXeVvKKkE5h09tcYkS1vSZ5q5K3HK3MAC87
MsX1KGI067NHDXBBPSlLSWUMDH2qJ58oZtzWje7iWMFzPdyog3WXRBPq1IQo7Lwn8UhFaelZzEBP
gN8vuqaVvo/g91jhXLgedh2YS90kpN2vgw0OwzXazEdRalDXm7e6XjyaQX3jd2Dw0h8ZELtSFIFb
D4ixlNANdar13riMfdUJyNLzleCCauOQd8oNPoN3SWgWciXO8W6zbGotWN3arAVXDJLbSMv3jSbd
42rhvgGmSNeKWSqzq8XW5VU81pbpSkq9VbyRAUsH1STt2axe5iUKUbxLr32bP/KjAJl42E9rtaCT
DDDKCHp7zEjzzWpsksKOoMnNJBiQyWlkd1WM2oZNIii80gZegt1RN1Zy0z2gmHtuSqKcCmMDg4ZQ
BtWz86Za0x3fiEOKgkKzQPl2j30lPuRVdANoDV/+gNGg5buzHGoEa6PRmJ3GCozmJcuTXQGarBPa
2yQ01ubgnUB7bZDMbTtPOgQ52sKsDd00Gc+FN1vc0Zf15iWqCKOShqeCUsNY4RqVLfPeq/RLXdWn
rNZu2oErjSnVt+2cAkrs3qKCs5RpyT7R/C1eSnHRQ1yp5oVqyh/HuNnJlbYqOAq3+GcjhaJfPx96
Moz32X1VjFtJzncCsYYnwcMZSshIclsTumBPcrOtRBH5SI9bNWbjiQhT1O+jJkVZCEOYS2TzpEIo
l2e4V+47cSj90FMcmU35GFfBRpSlE+st4Raz+pVcHW0KeS8TI7YnUXoKtLpwLSW+S6smwWwcr2JF
OkcxGtDYws2KiNyF87/2Yt3uZSF1QgTOHXh9w+99WxrlZZyALA6y8+Drq8gbtgMZnoUAjr2OXppK
46IBKwMjDNSSznDa1neqQMhsYCEY+1s7TdgkBitbd4L5A8WWW4fiyu8MNxQHB6cp60/NrdofJndI
sx05pbuq0e6g4bDXgFXL0CA2ZHUJQS9sM1llrtPY5m5XSfkmEZrDhDuurorX1pzp0qQOeclw6FRs
tqnI9vfhSHv+oyz1uYdUo50uA05E+GZZ1wWGpq+qCkSkcBJT0CzxIo9vBBAHnw8yl0I/VMR+HkPn
Bq8kKsjKlZ9Vjg+VXKhCoq6pknAaEAyDN2mfhvzdV5YpWSmfj/S7A+/Hka6KsrlHYujkMZJsHgMV
p4whOdO0yfVvUfsc5vo/64r88cF4myiO4AOiQvNriVqG1mJ6Se6fO+G5aXel/5olr//8E3Fa5rDM
MAqgy1+H8FBQiRaX0jPhnFG/aiGwJQG2b38V4oiXmz8yoP7XhvxVP2T+RCSfc2nBU4yhU7+q88+E
H3kUm/AcZsCEFcJX/FURf/GZ5ors1Xz4ZZCrim3tCY2mewwSYaRsqn1kBcvPv7WvPsb85x9mXNdM
uN9gqZ4hGunAw2OijqEjfT7IXF7/7GNcPZoiHuOiS+vwPAjKAvi6FZ5VnAyW8aTh66xPMuG0n4/4
u48FWUskQEdH3nHNw41DEyRsJIVno7yUIjLyZGN47/98DOSv5EgiUyXq6uqrIzpY0M2uis6oDikv
Lg2MG31y//kgv/vqFAOIhqpIioFd6Nfnk/eBYYThEPF8njJ9H3BThMC3sLzbqN2pHU0e74tmyTyn
rh/WxxGvHhaYcWIJpBGCGACDrn4gJvOLxeCqRwaAliwag6QvUjlVnff1avGpc5VAqUFKz9EersaG
zfOAINfRLsGNZmdO6H7df/ndhPj4qa6GhA2XDk3RRedOh0NOKUgG8Cjn68+f1u+/O2TLIjunpl8L
xPSJ+ngDbP3slZYtA4symy++u/nbv346kP2YbYSGzvGhv86HopZD+HkUvwyuvqMpc9p8DlV02FH0
xWf53Tf2caSrBY4bcV7hZo3OkvYWmBfNuy2nL5a33w+h6TQGyDUi5u3XDxNKcWeqkx+fs+ykQScd
QhlIqP7FVve7V4jJ9tcoV48ed0jQjD6jhPFrIpC3IDiViiOitePmLMSrRPviGf3tY5EtZxgwJ+AH
wLqZfZMf11TZ8owiNfLk3HSrsnrudaecbv7hRLsaglraxyGyzucLDcrk3BOzLQk+dVnti6/tb3P5
5xAzDVLkwEOd7dchomFIhYSb1rlOXoVpgz/8iwH+NpUZAPCCxntC4Q38+q8DsHSiSc/QRnDOS1uQ
jtEmJDEos95+flf/rcqqvJL/e1X2Nnipm5e/l2Tnf/VXSVb6FxconQMZME7wJTyiv0qywJ3wXlg8
IB7TnLv4pxP3j7RGjT6gbiJVlUV+4L9LslRrZQ5f/3bo/lNmuXbVsaarB3uDn8IyM5dnTUv+dYoQ
HyZiOWeai6CVaGCgtJfU/ltn6CS6lsKpmPfDGmMo5DmYDiMxoiPce3OC6twNJk6Y8EDb8k6Ns8TO
pNJcjgp3n9qfqGEqazNpXb3xnHSQ1n3Pf0kXXhCPsuQm8FRrsAexPC1AQzj1UL4ERnQYm/aN27DT
Q8GmNIfLQyoOdK9edZW7zWiF2CJyrixh2q6jolqTdb+rqaLm4J4nmahU7vGACrq9Luf3Rt8dexnj
zlip4SqY5JekEl1ZFB8DkeuS4cH2KDDprio8KLB0TGxder0Fmd65plfsGllYWwrXuSC69TpuTIOi
4A0phktG42NRA8vE1C+uSdcQdxwu8L6ZPabHTMoWQmqcLCX5QW5hsRplvBMhQfELAJF3VZK/JwXk
IjHruW3W0SEmLmkZ+uSvZV2R2EFhaLYx5COafNOJhXEbaE229Dn8NFolbNMyW9LDvATEtC4y09pK
2AcXeDcOFJzB2bXUBYZLiBOO3BEah2PaAxE2qWsARhLk7ELjLF2opvUURdINcj0BkgZWijZRUnvU
lbspDZ/irFz2CTXE0CQNSAnDPSfpXVSK73U96WsMvkSGhe3oBLWOKcZTLm0TPAQRv79Pki5cexJ3
9EJdtzrQoyJTVCetQdxHMWx26uxARDij0sBqJPLIQsYRhxptHdE7eUZDeExvhop7fE7k5GJS2pXv
o70rM0p3Df6hZR/x7xIFkK2UxuoqzdsTgWYPmuTx3GtCeKWhpAtWPEFh3cMM21ehFW4EvNO2puMD
UmWcKxbJdHYqKPS7GrKflPyYBdYe64fBBRi8sl+HR0roT3S1QwAKtC7bkJArNbP1nl8U8T8q3qRb
l5J4luWaul6frmPJ21V+u6mz4r4VulVeZ5RMclfVqVdxbgbzUnfgcvUe9EuCU9EUu8epDN/qDtJ/
NKwo1o9graCTZPps9eNTjcY5L3ua0VZ3a8aJ24jbEi1Jd/CE0B1FC6txdpK07Cx3+Di16SS0OgD8
sYM70yg/0VhtHkxLecIUqUcJXPc09KARBt6iJEY7z/ihiPxJN9LxWPZqS8FS7N5JL43BsirYRov5
VYW+NEC47im3GtHQYjIsI3uO5FtJmbYJJNzKk6em1UIeFXCsmYVxWRh8EJkKRSlKXK4lmIpb0Tz0
h6DZ5l4cAS9Xf7Rag6EKbkuudI/l1L5ORh9hW8FZ5Sv9mXxVCFahDhq80RvkeHKHw77N5Gon+0mz
Y+0pl5FZEAAwlNDiMxCSWpZGuqu0eHfvSZYmxzVQKyJdVbDxuEcyUHHGQOar+TP/1cwEKMNlB7Rg
TWzEiAVboeBzFLJ0bG//yJbtrUpQdu3QIinWsiR4rCZV7k7kCq1zH9xXERF9l6ux6oahBpFUnF6k
yr+pPYXWbDxsVTVr3UqowPUL+k6jK7tEd0GDKdFfyzyvKevo7NWR+hhz9bEDGsYwSyZ9q+RM5jij
DMxfR82l5c+Fp74EUSUvGxMzPt7ad4i6+HSDXFwghKJbI3ZznQdaASXbw0gFfggthIWFcFCz6iJ4
7S418+cu7N8nAUP7ANK8lgh28wvkFrUybAN8DWJPzrNRvIRxfqOTDUsbQ4P7qUtItRsc3HJ09Gpr
L0Qj/Rb5fZJEfoqvvcddCjM9XArTVh6HaKlqleP51U08sPSIARl/4H6TXRIYBzFOsGQP+cxN2gSK
UtGFRnZJJCB6Czk96kaM8V+zfEeEPi2zYy57Q5uW4dAesFDsLA34DN9CQfRPSbx4DueETj5ru1os
cRIZzoTTc5F5wl0TLyfNf5ArOuQmLmZiMBCZmLHVMzgQHSu21sqE1XAaaPQpEAmxBg35KR0KmmV5
vy/MBo+oCRjOl4wTBe4DcKgUi4d3sjK6cGm99tvmRbf60SFh93ZMhNKZ0hkNa7GBaBFdl5bbeNtn
D3mSbyMh5ndsp0dsu3AmWqgvcTPlC02UBbvKm7fasu5ZoF2xSPZxGlCY9pU1Gsv7soOcGhqDjUd+
U/bKuTOLG0vLv4dsdAvJEI8qqgAMpp7dZapH4ohU2ZpYbXww0Ky6RAnKGne0II43ljZilvEzOzLl
clVrYW/TVIRr0J5hhbiZ3HzrUrIJ4hK5Q0t7c2zVwYnFtHNEySwBVXiI63z+1OiifKlDrssEisy6
DICr4QulXp+cxKKOFqbRbNuMuPlSt7ZGPdzDoRAdkASHmCULkvXkr4Re2iWZpdtjDx664k3bwQI/
6xIEJ6EuqFpmIuoimfRgLFlQcZTSA/KrYC4Lz+Q9fhMgrbrklGTY7D0WOK1fT6nMK0GDRq5wbBFJ
RgRBPrxmuf+AsvtUZ8YrPk3ypUW3qPXHPPbB5xX6slHCjZcWj2JurhW1uu1NeYfjz1YILLTFJKA+
3b/MPevWkN+seNr6bXiZJIMIgka8zdR5ERc0Ujuq4I9b0H+P3bOV+38/dh/yrHkjV/PvB+/53/11
8OagPFvMidimVjATa/5z8Jb+BeSGW5euk9XzMxDoTwSOTsAQvFyu/RSh+Wl/CiG0f0FnBaVD9VPW
uej+IzGEceV54dSN750zPAA8cIaI3K4uzGmRqFSHTbTrytS5heipSxxqTwYSoNxoHyAI38fTxZs3
71Jy5NLkaOXfe8kU2/SMFda1mKiM8QAJyxdelT6+T/Hu40mrohXAl+96g4YBbOSmSKO16GeAR9sc
eUXlsaUgcwIO+ixw0vwuNaxZipf0TgRZA0x9BI260tcs1Nusp7gbKcFDSscrG62nia5YUpgVQUDl
yxjFFytQXipdehw6DlF0Rg/gg3N7DGLgUmW0a1ukBhqehodRNJ9DAMm7rMAvKvWavhSL6D5uk2dx
NKaNmtLaJBUcdcK0nkr5uavTo5VhVNGNW/JtYsx9pUUKnRb1920QPpmhsO7F/KGuBH9ryMXSqlU7
zbqjFCGtRbY/jOFxRrCVI25xLwx+5EC2yG6BXK73R2umjeWhvFFzF70IiBNaqvLtHCpH57iJn0qZ
gzW/4mo+6iIM7JaJSr+PwzeSrEimp6V6i1yraxSA1uwjxZfuCXsMHP06b4yObLnW6fOIzjP2WZH+
uKoH4HGTZF3myY+KjsuykWuEXpW4qvQpsLWuPY+mtRYj+qYiaTirIKN3HCKvSDLGS9iRNW5VllF9
Jw8kJE2TYqU5LXN6RQShcLBsyRJoQpyw1jEt1KUeEX0OaB3aT0AAqLFky8Qsq9KJTkQN7PTMMfPp
LnOU7aRFEhN1mRg1jsuwSe3QKJhsoYVsIQUb3hgvKBbYOiCetjWNX8ixs97m0huAOwyJKnOpvI6z
71Yto5tMSiOM9tVKKJR7DShSmSaVQ33K3JeCtEnM/FBEwzNg329BXX8vShN6aT96y0nXiTSIWnRy
FUDuOGo23djky66MHzh5z0hxw7LDIL3AeFLsuBvWqdTkLgwkLgmj3i/ifKPIOKDBA77zPHZ5UZzU
KoBmKK4gDtASp7dedKhZxkS5jUAdwXXaNVJ/yCcZfXaTbcHj7/Ghb+SUXN4EyhGG9e9R7W+swCfi
QeYAbdZ3fR3eFq1wTy9nI2b5tiVXMNf1TSz6J2hxz1md3OtxyZc69XtVqXZKmx/aDsIuDeFLknar
weNOxTk7m/p1YeUbaa6ajeqaHvfWV9EDVKOyK5J+19fiWQzUxG0BKnl+89gbAXwZdXLDqjkVLWdk
mAdb8rButLDYxWG3xsnY8gnTligxwlTF6uAXBp3+DhXQCB/Pl2/rvH7ws3LnDdGhDTCO++NNBu4F
00bwECcBe1b44MfGSvNzrrihuQH4v9K7PmB2NAclIysIkBj6TX+DHu2SCh3kIbEkjqvakCD2SL5Q
Yptikiwtub0BmLRv56wkknqJRZvSR8Ska6Pt7GJslvIwCXaLeoeAr+fJtFa9gIrT6t0k7J4y+Lu1
Jr5PNa6iEAXnBGwvFKl/L4yJ8/mNTOCdnZh9QhBRrrH2cVHfkipBprSe7Cy/3atWvBmaFmsYl9gg
CE5ql+w8f+wXdH4PPVcWJ7Sy713YEM1YJXAsrFWZW8eKfF1ofYOblqIEcUj6FkrtfpDUByUWoC1H
t9P8CBVT+15IA2+j78Dl3Um+8DCI3Ukh4kyMgdXrBskSY/8iC6Cqw8JH+VEWsAF4FpWkuVkLA6M0
0+dCUQ6jlTY0Zqt1nEerOCt6grGkb8g5tmXdLYIAVXQtXDpQn7as3uF/Izp0+h4lxu2ECHOfaWWx
EX1Maml2EGZutleCFpu0Z6nQV4bsLVQFaGTUECvdV4O8njPGZNl/i0ciWmiyiLvRGPeSBMZfkqBi
cDlfGaVWgVwOCoCnaEx0X1zXaftY9+FtmU37sfXvvKpeZ8Lkk5FrfoNVs+Iz3/lj8tCUAf4H9RzP
qCWxs+VI5w4P0kpT81Pf+HehOBESpndrgZTTZjI3Va1fpkRaV77FVyOdhLLCdYOao2vl2xihKsdO
yhNmNYuNpf5SKPqhxkCnO0hf5cRp+zL8pqVhw+KvGzs5I1wrNZOZ3KAv0hJlWWgCFIonrvrGuNAr
PhLC3HU1jCvDzyw4MZqJ+qnLnEkICSTuoIT5HQzMrk2/d5zmiUyLOK5PCMzA3C4LQEsDQjctb9Ze
QH7CMN+6887qtri9U5id43tWEavGW7yIR7JllaiSFmh2TUdLkocuJz1NHPU5jwvmI9wLQ+AeqBNv
mvp79ErFKSul5jGSDM7A2lQJbmv22qXuM4IBzQnhYJ+oJPIgyJcQseNQnyRhjzZxS2rxWTZjVx0i
x5Cnb2np3fhArNpSpmakZLacmGAYpPLR67VoFic4lQSJqYsHrsrQLZWm+d5FrS3F5pPqKYeuRygH
u5IYbwgOJFop9R0qmXFpGsELK+s3UanWKDtPoja8eZGyAxyH1Jg0OyZSbteC8lhM2s4I04MXJoqt
GykELgQaBeqSli26GlFb6ZV3ikQNKkR+09SEzqFs3xS+vteGcC1VBKbHxQasGogZMV6GBvB0PVIu
Vp/eNhTTunwcl2mW3WWk4FLhiXdi2G9EUThYqmRzFFrJQ7lpPCBrcbDxjXIH1u5BVxUuHtK2Uthp
FZPE9+LViyYniv3L4HFSGBH7TF7gVCBttbJ5S6kWCRkhfky6YWh3rZW8kvVEbdDKNrkY3lTUJHWZ
3DM1GhdKSu7HIN7Wc0JZww3JHlEkjYbPBbV3vQ4SzcxJb63abSJpnbbyI/0bO4mkwSWQz1ZwAXC0
KCHSJSWre/yYYEkkOsNf9LgYrJgWT+snBEtH3yzLWynmdBY7uAdxI92NPRaDqHjIJQBoSkqctNCF
P7wq7+whIlmxCZQjdMKj5yvPg9iAV4sKkCzGKqJsZoWi5fq+t+vi6a0YtWNTgCtkfW8otDJZ/LzX
uCkb2JjGQnK8UTdPuZRvM7V1iG3X4eiLl0QV9mTKzdEmilvXqDw9LQAXXKP4CEb9SeuRUlqsNAhj
hv0wmOjZ+vyBoMFLIehPshx5bhGWj9RuCbPQWzeuO6rONZ/a9KS1NS89Jao74D3B2q+SyMZgcSgQ
Psa+QEWMWlEh+eVSRhG3LKv0HXcDqXAj1VSV/4c3dil1kGfCoVglU7rpDeRwFKT3UzXv2pr6OMxI
oAip/rIaEKeVo3qU4vAI9NaGBxZsjGCq9wWCJ6pQCkCHxN/2lXex6uQJEau6nl93nVADhK3s5jTO
lCczAAdcqBepH8K9pWRcTYuNX4h3MqkwU66JqOiofYr5UkzjfemLXDTVCixx+k4JGNaSIoNIM+/i
Jt+GZO3EHfiApB+cWm4eR6m8sQZqIllhHCPJP6awlBNDHXdQ57+VifWkDsoNopJ8pylR5rRw9F25
UZ+m1NpYoDRswP7ZKuv4wUIpubkUAmTO1G5NBRHFMwJqMqbUVFRuBymSuUZUlaA6ZjKqcmTHii44
shR60z/3AFs6CFMDyAd3KRqbV22LUBQHWc7CU1TQz8oO9TQsLPX2w7Xy/EfP96Mg6ap9BiBrHkSX
SFijHcFV8tdBYm+oFKGuQwqwGyE7iALFB/Wu6e8+H+aqDfjHMMaMQKAbM+e1/TqMJ/4Pe2fS3Da2
Zeu/UlFzONAcdBHv1oAk2EiiqNaWPEHIatD3PX59fUdO5ZVkpfyyXg3eIAc34qZtESIJnHP23mt9
S3WpAlQO7vrTUFwrxm90VR+8PjRUkPmQ8/m43n9WjTtZRWFl6SEfuNG2js9I68/q+4OP6aPXZ8rI
J8QHJe0Cb3//wM79mQ5KdnCoO8wz8w8q/1/qgOSU8tVA/pfP5913LaxECwkjjQ5E+ijZMgFNDTcV
0tdjGq8+fysfXArwDEHgDuIw6HTvvorUCdR5mIvkADAIkVurLiCHBWLJNgx75vNryV/73dt687XQ
bXg9YFa1KGPKlqaH0lgSnWVSd7Ur1tSpX39+oY/e1Ovv/92byu3YRRv280LgDXMiM8M1+4jcisvf
3Gvyl37/plwprnPYHQ39mX3ySuxkmLlesPHmh8ZY++ldP3qmf//52/nodnt1ife329yYnJUwbR1y
5y72b4XyP7idZcyNDVBO17Bjvv1e4iplEMGM7BCzAhpE1U3/g8ULP40K+NjgsSGf/e0VciXnfG9p
xWG27wb7tEPjqba/Wbs++tK5iXHFCRlUKa1Ar+8uovXKHOxXdkA2jIHBwYxsnvcg2wjMNX5zJ39w
LUflbeiazSSZ/tPba4W+Q5MtNvNDKGtqL5IOCo/+Z8EZ6+L5y/+n5Smn/38uur/4hw8Q3YLHDxqe
/NRLw1MjzJxYehXL7/twdM35AujbhPhtOdwQkrj50vA0vtDStEwkBY5DO1ICuV56nsYXg+xQ/sfL
migw9b/jH6apyV3w76WBbYfbndd32c50pHbOuzuyskinGWzVx8WpMT+a08RdaiToHStjpR7ndsOw
SlGnDrZseERW9q0TkBdd2vG90ZsaB0FzsLdWSN/EqwzgeWpZld4I4JikAyssvhKfQYgw7rcGzByH
UKwkkUVqdAkuj+jn6LHtVL9e67kZstj2BSFFmGHpfazDLoqJok4bXWKPBCmEdYz9Y7IVl3nQtGjk
eHORRCVD7RgiJU6y+klxgpHIKACdZuRTlOvuA2A6SsmJHGbFiN011hvKgCnAaVIjbaeKLefimDbG
fp6Hc82YwY26Uix1Iop0B7VtN3JSYjbNgJbazVwWTd+t9EaEJ6UATV0qZzF0tIvSd47bMoyXVuDk
S4geRMk1Rb3UlSHxJiuOF3WpxCu76g5j2xyUBNjYQDtpMVEZzkUxeGFgW+4itVpCgSJjqp8So72M
UvVStbQMqmLa5mdKlcx7QyT0Pco1c5DwhgDUpd06Sx9uNyJwwhuMInyyG9KV9JISRi9AUbvdyp2M
7FKxzGFdOlRMNojOVV2TMlvxdkusfjhkwQUTI73StTw89AH5JVEZA2Q2qXtGhTkj7HGXhIxGnSBo
uhCBS12jL6nsyb1c9xYg9qkrxXXjgncIqQ3rCYiuCkeUBjXDONpkWKrt8tb0O8lmVihfFjmAymUD
13fz6lE8+3kLvz4m/rLn8cBJLSIoe1Z1Tg9vl79YDQcVhHF8qgMaXRvpoN+FE5/TQHDDH6Lyf9Y/
ia746/XvIuofqagfPlgC5Q/+uQSKL3K3g5WgonqV85sXrRWLowW9AIQB6w/iUc5ALysgxliICixz
ABSEXKFer4Bos4AxcNv/4Yz9GxFFz0LitwsgTVCLkD9qCiLV3uvZQz2nbO0MfV8XVVXaJ0qKnYeA
YqE2GeNvEScHt9ONhF6hr9HmHLp5rU0Tc3aSAswDLrX00BWVQqrsqOxMMzf2HdKg1aA3+XFG1vPl
ZJDlCZG8PMmjtrhvg3Y40rMhuRTaQBpLETOqaEf7EVap2BbC8dcaicZgE7DMfg9VVm5aAkTA1gM8
eTfdJLo2rOY0N3+QP6M9KUY0X+iNFXX4j8A55BOoX9VxedSsajXqsc7UGlRxBCPrLMs6/0pHTn/R
lUoaXqqxmQRwaWytmndzGfq0ediTyPHU7DzQuSAkXNxlPTtZHa6mwQF3ivGrP69rzRkAPta6WPkz
Jr1T7F2xl5lRFV8r8QwBtOoT28Z5b1VAhmuDOFyzR7abdB0j4T5rvZnTy8qeidbBMOS0JbkPch9Q
+9o1j3u5RfjPu0UmNw71eQ9RKrmfTFFuGASzNfEO3LDtropZXCB+6+Hdym2pYH8C5R8elRYGqb3J
NGkHlTLqL+bY0dYTs+vZgHku7GGfuemUKz9Xn39WBHmA+OsVgTCU/1g81vld/fChLV7+9KtlQTOw
FwppWzHRKb9ZFxyU5MjzcPD+DEp5WRfML+jmwaeYNqFzFgLd1+uCQ50uM9aJo+P09Leiyygq3p2M
aC/IqE7bxGTPqFp9dzJyR1MpMcyHp0qCssWU96tD2tTOkvdw/3w7t1WLP8WaFG7zIJG3vD9UTXzN
FDb23OeHIpfPR14Rk6cuSITtz+nC8wh1P5+nYERSpUMQ6WOeternk2eAMUFV9PxI8vDXPJ/t88Pq
oOxBdkFoI9oF5uho+eb4KivS/lrATNGXaaJietbQskENicN1WaYcLThCbSFU4GM1O/trjiiREVTc
9l/LDIAx23s5T0uRE3SyVJoqpz9UOmdG0pe3RlbFt4pZmluqshY1YZ/6B1vVAmeROnG0n5sK32rm
I6RZOpHlL91C3+WBmi0zI+5ozdjZqW3l/UXGWZCM20QXzKjyftspvomssXK+62BA5qXbusWMmbKz
oPM6yPyWMX6+C0VzECvObRZtiQie7zNdMZiHianJl5PK6IPQMdeMSzk66ZgwOr3RbsyaL6RBhaT0
t0xrNM1LeoC/IsZ7nnssfaxWrDz93JcM4415drdu4PDPprIONrbaztgi+/i74ebNuWs3NsnvlsbB
jCPfVSapz0ZTDmeFwqd5litBr3pBo5IwHPhFV+1CXev8gxPp8W3C2fVqdLu0I7SpS+LFgPIq3apG
jhlXcUo/3lVwO8ajzMYt/2gNTvDoIp7YMIHzmbCFBS1llz5xo5Bonik0WBInam5CQyvrQ6UQBGCx
eD4/sP+sXAYLzOcr15p67j5q7j/gecgfflm4SAYG2UE5p5o2ejq5BL0caHTji6ZSbruyQKNnRSH4
snDZX2AQ24Jd6s+feinpOAURGWw6aE7gRanEdP6NA837gs7k8riLMBfIFxXyTPW6xWCmqurEfj0f
5vZb5fiL7uUO+cvOn3yFf5+YHByAgtdAFQCwhHVRanheX2EufascS0M7NBilEG4TDLtozIe+3776
Aj44wb99J79eR57wX3WtcEOXVc1o92CW/VKrTwb74fMLSCHSp+/kXQ8z0KpcJyZBO+ijvejFte0+
EVu/dBWOfL1HVb9s+tuy23bRWUsSoRY9sqgG+PCL8za/DDiPtVAfzMBzsJAH4ryLL4csxPub/eaj
0GTz6bPPnBvr9WdhRIqPE1d+FobHcgt+6lvXR0uSIQ4DQ1TS7hbR9GQrOopxxKhWtPz8o7LlBd7/
AhhYTYvzJubrZ7ztqy8jp+xve9WeDlMfQ4nR3BrdI3004pxKRuZLN1ZzRA2Oc1QjFze74UJLB4sV
j2z1XlXmZW1W4UIvOU6u20Bm1rRdvUkzIi2No8FXGwPYRaxdj0YWb4zEJUDJByCTk09dEwNTduha
+mqttdOqbydMA4feIm86QEvD2buz5g2jn7NMP2OqsfaZgPuE7DVXTeDsDWzgNRCSnrpPJxGbxNyl
TZDDFJerBN91iUTZAmYzc0yNJo2w5+7EVjNPkuurmwYV74R9sxryY60V5zCz4jHb9LRUrzMzXZQG
OQKFe9UKawX+C5fiKJsPgaAZju9CdTLhFUl6S1W/yDIqYJcIE4k4+A3i81fPyNsH/30g+BBR7LZj
Mx/UjbH1d/NJ+83YMLM/4B05abdkL3jOyl0SfQaS8whS1mq8VXbJut2oG2sfrePfRFe866T/sky8
6z+KNO3sTN6yRbIjAowEsRo45xqUwOe35kd35uvl6N2C50TZnIYh11FAcl2ND5WEmyyFvuI88vmV
NNkz+OwheH8k5B/Xhhvph9BYxmfoR7pxCd1taDhWLIMD5dDnF/xoBaR5yDkUkiAV6rsVEML6aNup
oR+GGI7p/KNXzj6/wEcL4OsLvPvs1FyexgJdPzT9qsMLMyhLwit/8y5+d5F3q6w7utaMY1M/uP3x
XB211pVuff/8fXy0Jb1+H++Wx4m9ml6WqR9k/MiYDoyhL9z41AU6/nyh/+3T0T4i7aQpntr/I1/5
viinOgrC9r/e/idRyn9cWLaW3/wHzBW0UefdYz1dPDbkibycCOS//L/9yz9gl1dwVP71n3cPOL9X
UdPW0X2rc5p5vsLu4V//qdF7QXDLZ/b58eiki5r/OPyImvKjAxI//nJAIpMaQa6p4Vujz4Dz4dUB
CeMdfSDgZa5K4qq00L0ckBDzgkFDz8uvonKz81MvByTxBZUvP/ZsLMXU7vw/HZAgsDmmg8GP16OD
9O4hrnX6mVSWwQEZAEQyuEm/Y0wwYH27UDAcdQyHF8LkzUHx+Rz4ervOtEJ1yxTaOjq9XR527pq5
eFyv7Wzcj8ZoDZjmp2Yzs5l6llLCdtJax7zUEeOS49u61t6ubZcgu8Cv9l2tONUy6wyr2luWAkRE
NGh40epq9uw1EAeLclAJbANy5THnVzcjZeWmRrvkDUA3NnUoKo8MTDZWq6Tj2ltnMd0dsA10uLoi
qDeREkDhCuqCdLk8Y9Z6mddz+JRRJa6Nn0oBp1EV0v6eFQRuyn95WikyzQuFlBm0z5KDshqr83bk
t4gAKs1kBhKsE94YpXYcjmG9UHFdQHJKdkZfbRizngydpS3sVjntwv6rmRhXldtc1ui/grz/aplZ
zlGmKmjyi5OqFl4gqhN0dnTlgwRZJmGCwWgdD/S7HBUEXR8UIOootFWORDPhebVJ5GQco0FMbeS7
RXUgajDeQoc86Ua4y1YyHYcluC/hg1dxUu0xTAsQOa6L88GKoZdhzA6EQdLnOJqb3PDn42oqj3tf
2YxZQqpuFGyy1KxXQEyXwVx61RDtCdjhkGag2w3wGM5zvfPr6CI0q3QT5yZ+QbJ/6lkmWzfaLm/G
2qtD8gLr9jg0pBEQRNP91CcNWluCdlTdWo8lt+qoRZ6gzqdyzAGj+LuxrPYDISILDUwRWiIMdDhg
wITF5qUppgIDp0CgmZNZl/uuTnSzaJeQU/eV1StMKFCDJgjrilR9FFb3wIzB2dSplR0bLg5oDChm
dF7mTrbSRhGZ6MyA7NiacuQmsbZpHPU+UcLdbCmnrWZft6GySUPfWjgThqLEWXYGEO7MOe/zfO3G
+iqufU8qVzJrSLYoQjfO0OqryuCDN3N726j9N22GEVgS/GW77ne6J3scQ/gP6/GIquZs5kV7Ld9n
2EFngV+sVO70RnvEx7YrxHxi+LhC7a+j/71w5iNkac7axIFa2+Z1NYP67scffQeeqXWw36DZMfXp
LPBjDctIQv5C4t6mgX5rID6h06qduCLHZCQOVbgFNhcuw7kzUPhVa8K1r8isuxak0owBhwAzDM5E
j3MOdABleo9smSMPTVIGRr32tVTCK8fJrpVS5rAPazson3R7PKpc5WgcwQ02sXVUxe4mtdIOHw6Y
0kLrdqIT7YUY4iPenwy9+W50JDhPBsUWkvtwrRslsFQxJluCy/TbYnDsm8YpIlxa0+QT401q1+jb
cOvGVPMEyMAFKvFwVf1M1pRR7S1a5EonCW2QCZx9aUannZDG1LSWEZ0Y9OQTRoYfBFeZ4unIPM9Z
JnuGpvVVaXTL6wn99GFfeb7MAW2F23AzQyjsZUoo2YrBMtDNi1bFrmxUZIkGPamiGvGiCAEvM5k3
CmuwXPQygzRxxY1FJinf/KrqlHlly7xSB+Xx3pcZpuNcRrD3ix8C6MPCqiaSTrEwDcK8UgMyUJt4
gttLLGos81EnGZTaFj86glNjAlSdWCfKjkhVyQQ2iFglaY/mWEzqZPtk18MBd2a8DshMWxhDeqvH
3ZrO8vdiorpwGvJbtUq292JqviZ3FjFS3Ia412mKlkh8vbjSHzKrHTclOrk47297w0dISx7XHHXf
G0yUJVGyVTKsdaJlNSJmcUl+M2XmLFkMl2M6neSE0baVxgM+xN8CTH7RwCM6jvue+NpA5tiqqXXR
EmxrNtbtGJqnRSyWDsG3AwG42oDQzMa30guXxYKQXL4NLyc0FwsrzBlidClPTHqNaGZbInYDmbUb
ytTdmCRYJnh8gjKRN8jtK0xsR61htUvQVbfsBMf4kJkDR/kZkuZ2W8QB1leSfg213ppE/7LcrJRu
RHzOu89C+wTXw7YmLFhrzVu37JkQFMvSSQ4GocJJJhaNTBnO9OROcZQVSfXbDjn+AkLknUowMZ/1
KpJJxbRUjgTRxY3MMI4FuGNCjWvT+u4j/+8xD4q2v/QxUTDfmdeNzEPOovBMJSDZV5lWEr/+XRUx
tSVeeZcw5YpQZUJD5lVCzDI40WoLwU6Kqo1VTBRzRySz5RfHqsxo1mVac56p2qKQCc6qzHJ2cDR4
iVPf5GqIlU11DqpMfh7yqjpuZBp0K3OhTcu6j2RSNAge5WYoLe4XmSM9qbQqDZktDfDUXunPgdPD
pO/JOPqblB6pz4LHojPTMg1oHO/nWlpialmGt/I0jlFUf03cH8L8OeT4y0bQu4P9L5eQ5curnsDE
XWwlHZdQKybs9qErDwB7Xh0zz34WV6/HuO9O9n9cw1IpfvBmgSJ7ew1d73DJu1FwUOFeOjZdLRSo
V9BKP78MPbvXld3zZZD5AUdE+SNnDm8vExQxDq6kJ6YCc0JFBF+DCluprjtxJl04VoMQ3fypyvrf
riU2j4XE1Tdva4f/n0sJeeD/pJSIHgGA/lqAyJ96qSAkdZ9uKPgVB33MsxfwzxarBpDf0Z/DY2lA
vlbNuF8YCoEy5twNXv9NBeF+4UV0KQgAHQS2zP07FQTc5je3i+Rz2FCTeS3UocjpflG7GWEW6kWk
Hihl6L5lM8d47XsRPDCrnU1On7WVn+BlkPNiVz8ZSv681u2DpeWHDuUGe+hF2rEvNDMnMmXcNEl4
k0NUZAJ9YeTOvnTRaDT2rWYJ5jYjo1I7OW5NtvMApR1m4+66HPMrmm4A2Fw1XVbYEFaImW+ZmGLK
1o/NiWGsVt3NuMy0eL7RhUIRMbYwK3KPLcdeJnO0bTp2tTifb7TA3g5oNpYkXp6NdngbZ/n17BQn
blzdMEHP4EHrTwr26KruvhIgzY7YmWvY7+vZns8iFxgF72xTulgSYDAQRdpaeBixxtv+sGuhwDMV
d9hd4D5XyrpuegcAhvO1GiCYlBhudsBRNbBe4jhWU1b7QdnidCISm5Q8BkYcVMVI9HSPdsi6GMru
Ymqz+jo1p7u0xBRnVc5REKrf1Mw8duQ4plTHPWYECMOBrXhmnG/bXolRocAPE83OckHGV755NGkP
nJG/B353PTkmcCkBhh1gyPdEJeQ1rYw9yuxHw6YJzRp1/TycG1TRLxXhr1sAs0yRestTx2kbN9OG
sFCv7KMT7HiIVINUrIYpiC1cOhRT9Wk7tuisfDsuNq0ZmSNnRRDMsyjVdlc4OE1b20XvrrcccapC
rQE8RILxVdOA1LhL+2rYxa2pt5i5YYguRmOYsFjqBVHAqQhXQVhV+FDdfdZVlacWxn0e1hUR0vTD
DIFUmk2N/zdw5pubexLuxdJNqif6vmT5ckqacoIKbG3qUbITPz2X07Ft2KdKqDvLFkMnxlmgFEp4
k47iNndGGJ5jj98uCemaYz4RlfkQl80TbIHHua2nRW+nXwNLcCsYxp4ISUi+1Nx1rkRePLSGJ8z+
bNQNImLdZCvC+tZJzHZtKCJFo+rcTq1OPKygFrPs4aFx9GGBc2TkzgEwkkeNs1RjN9ingXIa3Kb9
Kg+CIzT0D2JEu5txv3CIN5P52MrzTVyU5yQMcOhJxutSMBC1ikAWLQtEp0j3VeubX+IYN/kTRxu+
BXN1HvnpchKwmYfmNgcHDbZfgWtq23O04qXGhUqmhoKJdEEQ8EJRQuLS67FfdAPfOGXZRTcVwS4J
w+PZyk/nugQmWj4heamXqegZnlRTUt8/L6f/7Cuypf3ZvoLdaCq6D3YWfu7PnUX7wnSM8xxZksiI
5Jzjz53F+MIwj9bTz91DNsT+6E0Jne2I6GKYhyjJkCHT7/mjNwX56TnghX4Ssz1NpsC8tOr+ON3Q
5fvLE5X2rMr9d4tZ7iwkBLCFSXM8slCLTt3rM5Xmd9QltVWcjbUK4aEXw0KUAgOsGLahDQqjnybc
ROrA3kNX71hNM6hGFkYr7LtqcRPBpd3TlhoXjWFUwBItsTXHrjkdEr98KFtKCTtleQpTG49jgPqT
WGQF33UGheisqbP2QCyIuFVUq11rPkIsYsU1bGu5n58mQek+OEp4MY2peQg0mgE6sR6b2bGy69aZ
TB5BGxaDbnb7tgntHUHIzLDtjgASzZyKr6RyY+s2Gv2xMLv0xlTTfBuYDY9y6Td3PRIxwM9O5Nm1
O2zsGHkUjaHyfMADk3Z4nIMoKFf9oIn+AHFX9PcYO0NxrOF1mMY1ZXe3oYnQKY8icOMQwGvaYS33
m7w+2CG8IjvQxhAsvAtmZOjgr81QMOzh1HGVggZRIMJRYFSnlmaW0JcDtQluoejYUnLK4qhLpx/4
dqvM00nacCt/vLWG1LhDAGIWtLqsfB2EFltKZ02X7VDMd8yaaKvneqQSjMy+EgWau/HLPvjBnRQt
1Xye7/wmnB+xHN7USrXOg+hIsYtmlWlAdQazhgleDgHxZVo3bRJKapgb7XSSFGO5Mls3gR4ICjzl
oBFE6yZrDXQkfQbZKam+CTtKd6mrXRsQQralwjE9VId+YTo1eepxY106hLDvWqV1r0u1sk5Ht1JX
7CauutBbEyQqHjDwR6n7Q7GBERtpC3l7zA6IqJRV3fbjpleUZvSGtKraFcbpkhlk0eym0s8vwK/h
rAST8z0AvLGaXTu+HuEKndixiEmMQVui+Tbs0FnW0slc3M7dqBxz8wZY6tDMxUHt36CWH67zuMY9
WozRpYIL7Czs03qZIxNKV7kQfUM5iYi2R9vRQiwzm1WApxdJTm5a6MHgf1j9QqTGkT0OxjluTsxo
amFpj2VRzusqAu7vlg1AgYHslX/W4udxgfnpGf8r04Xuo0O+/LGXpRj9O718Ts8ohmgcSrHEy1LM
BMGU0wDO165UjVKuvYwJxBdXJVqL5RZj0880lZcxgQFbROhwQgzIjc9/9W7p/WwpflvcShiIHGHg
nMLOZsrAnbcL8aii7KnrvDudAcpw5pUHb+zJ2c8b5K9X/OfS8s2K79omEljk/GB7QUPKX+RVFa2l
hGtbsShP1c50r5OwUiySLdJp3qKBNeul0ead2NEwmS9jnZgLOvriW+zYwW1ZxIzboe8da7Z84u3a
HM/CybgwpqIH9zMFdoMzNG6M7/1YWc7Z4Fd9v4414uh70UcLK1FSZotpg4W+LAvdK4YU4z9tOyRm
UePnN1EyuZ7pzLW6avJ7MxXDqS3K9IAsFKCcViYp2ew+4QsptY6SMmRY2NFQGAe118zkpE/jQ93S
5cP3Mi5D98zQ1Ef47A95FaxZXK5sOjA5mA5TsYqNDhaOjNjIczlZu5lnjtnOn6ZqZSQkSzWEGqRT
9RQ64cVc4vDUy6fO6C9TLWBWL+r41k5YN2V08l6xy/q0akzrKI1ciimCvuZZZ4aqKMaTIKplK/xQ
PYUoTwBhj9qObo3Joi7FAu4ppH8EtrrTr4Jo1jdtbl9PmnJDUnm1KuIQx33bBjr1joE2K6CT5emU
gR7GH16ixZ2fWPV1LVpUtJaThxdN0EP8s7Wauksdb0RKCjDOjoIKL+nqlVBqsHLmfFFZrXMUKrAJ
Xp2DPuih6L+Uq0zPOL0w9oLPanBbv73FoK1UQQAf4LTxsruhXmiX86W9gC64JFVsC6mJwsHjYODV
HmmZR2JtePrWX/52EMwT/bbLQsK2DMUDEIyKBEvf298Dk8bQEQxRnPp6cIQjY1wmAQkJ5SCAd9mJ
61W9D4ROt2qKakfdB3btH2l8RwA7ICDa06nrq9PC0efvmMnddUMqxLptyzWZIN9tE9M7uJcQE8P4
rUphzuk1GRx2ExurcfCBb4VoOUwywCYDkIUGVgtjR4XgWiYxbGcDz7eub4TMHkDYKbV3YkkE2zYG
qVgYuHsLMt6GITjRfbbyJI+0FS5+VB1xs+IhPh1G19hUAZB80uKvA0J0wFntu9FRpdpvoybcaLZb
wdNT48vPv+J3Ygv6V2jOkGSxXiKLNd4rBdyZA0mZ+fWp2qOfYSEgN65WySSIQs8sqKJFFdCT+fN0
/dFdJVtv/164/ohffXXNd9+mMnLW61GPE/5hYOlg8NAFxWpu7K3IAFtXPsg6qy4XNiWpmTYtHNN8
wrTd0UZVzBPCKm7UiDNY3yhPPmw+dDh7vbDOVX++N4PqewbQaFWhnT3+Z0/+uSejV/nzG/zFrXb1
GN5lH/TdTH7qZUvW5XgeJi5o9xf94suWjLRRtdihZNAA3TfZEnupjtQvgh3MccDl4lAypffjZUum
JcfaY8vqiZVHUFP9nS1Ze3uby+oINpjs4yEtcCxLpnG+3ivzlMIJnoZz6N0waVaxYVxjOt3Gea4c
dWngIdDCqiVBen7f7cZh0hYF2mNP692j1iTwA46Ltg7i6cpRimrTxRkYOC1KFzixvbgr7wN91DSq
gm70NzCPOmVlKN3XhpS/iykjXcGqLf+E3AhrF4/2yqp0qF92X+9NXXSkb+nherS1H63fPKmEMm7L
IT+tdXj8S6toEg8y4sWkjefQ+Kzzil4DqvEBjViakzdLDSWTyWhEdC7KZLd0FwiAPGdM1nHQKVuN
DCYvziIoQV30oOX62K2anl5jm5PXZJFKCSGSAMzW4JCQ+Ll28HVSxsYu58+g229tLdUWJZefo5SA
F05lXIV8xJn5gXR9wAs0BppdAD6KkD6Fvm3rTAIx9Ls2NRA6Bn65KNrehO5HWA3WaIZxx72iEl9s
GfEyyqppM4e4wOoOrVkHdrDGNOOpjnJdzg3EsHoLuNjZmdV8BiJmWhmW+82o7PuiLk4r5oyLWguP
2MXO0LhfBT0esWGoV33iPtWl2KmduzebocF8xxFJy4W9KdPiJh7SIyuPbse4ZWTuKk9j4MhYGncd
pf13E6x2mdvVThMhk7ocjlBu8bH0KYWSEQbhSYT/cZFUTYQWvThzpvhrotoZdh76g5hsRk9xXGJU
C7C0c9OQ59ncOhb8WzZwLwkitPRBFBK0UH0t6GGtMzVlyOZYwapRxyvIDIgPdKCoUa+2HiL7fmml
MEMC0Z2VkqKqSp4qaTv3omxvekCrGS3StW9oD6VksKKbaI9yNi9f8lmZzfVrSzJb5wqkUcLtuumA
FKB4kHDXSHJeS2HsiJFyNyT7xUuDBJLdCBZ2Ag8rwMQakhfr+oPtaXFDHqzVPA05QEVMfdmSZ79c
lpI5GwHjIb3PXVCKuzA/eUZIuUqBeECr9bVqSS0I3AYWXgBrbRU648EAcauDug1B3lqJs1NA4Hb6
LstW/rB3ec1GtJdlBS3XApubZNY3280O8IxTwvriaeWD2E00Egglcjdvb2zJ4C3Gln03Ll2vsd16
WeAUWLRxvi6Scs9waNMo2TX4qV1SBSdtVmZbDdxvxGhfB/8rOkBEtiQC1yNpXak+H8G9ug2hB5sW
7QCLJKldXNknupudQsLbpBI57Ej4cJEkMz09gMQBhgrQKFq066AV61CLNejFqTZW9BAAGluQjYVt
fuvIUtIzkMeA9tzVKDHIYIXMFSkjlN0Skqx07QYqB2NNax6XCiTlwfK/zRKtXJUgvmdoy7PELsOt
JB+IsK8SKrM/14+VxDTrc0pt7+qgA3FFQGZJFi4f67KH76zDeW4HRKyGRD/3cSNWSQ8xMIELTfbk
sYATHYWhzfgXdHQKpEmFJT1bxpUP0XlZS8x01aYKXWrtAvEUlTlnJeht57qEU2tQqi23AwJFG6TK
Hd/TGyxgEK19yNZ92NDalajr0jmKJPzat7PzFH7LaEfKUQgfO5KgbLUdjyzI2YCaAE2NxARj60+X
Vo5DNpWo7VkN90gkiBbzi3EF7+spmP0rzDMGvHEawYaEdo9h/FCXtJ8KGl+qBHszrNGXOb274wGg
zLaF/21LQulczeeTRIMrEhKeuMHlaERep6MTgSLuulm/FmV9hA0b8JkWBgxRgI4bg0UWm1WYaz+b
bjJ6tOiV7yrSezejhJY70MutLrvWzf5ktgt+VEeY04u1TI3sC+eYkEwmAX67BVmR0N2wIk4+6may
tfsZaroZsGZzUvQsWtGVVj8Cwd63cNZneMwUT8weJ/SrhnZbIPRBSpNA7kJgkahbG2a7GrRr0XMT
oBxh5eZ4FYHENSXofZzsqxLy+yzMx6RloYwMi4jIVKpraBq2zMA1g+P/2LiHGizPRhfD15T7FumT
ADEmWai9TjCwW5/XZt/Tc59RVE3BHXtn7RVRSI0HlNFD2mcdHEdxNjS+9E3d1BSK2qWZd+Qrz+41
NKzbOKGNXrMuLBqA8SAMS40VRIMG7/xgLDRuarde8/v9qGMUXrlTPFDh4ruMoTrmoTGfQngzVz5h
wex56Jz4u6EMj1sQPQsGKUujVArPzboH30owB9rVA0HNhzh2G2It/WTZ9v4esFpHnvEUrt3CpZob
W7Hw4w5dTssK5jvmaYhKZ1WWEWD4qFgXXbCd0Kl7Nuuk4pNDqOSXUzGHCOTi74ld3uN2B+VMmCSK
+w3nCL4Dv7/UTAInq57sLYLhdmUbshXngihAjkbLSMNeZSlac3BnsQqI6EtknKWTDYfRRqXekHSp
GlGGCap8cpQcnDJpmAP2B0+pyKcMSMpMQpQbJVoCVYZo1vD4WM0bsjVFH27CSJjKMu1g+iKecKvT
IiW621rUkcpwKo6qfobL5lbhT8X5P3MGQSXz1+foyyK9+yjyV/7Uq3O0hMmSesOJ+d38Wv/CjMwx
bM7YWNQlAuSlteV8kf9Umg1RyAJRouX0co52vqiGxjFa43guD9J/KzUeIe6b0o1ztKzDcUqqNAPg
Nb03CQlOBrXo9OngtEF9ZsdsRZFW2jdFKvSjaUiS20lr7bXT9up+oJm7wC0XrshvmL/a7tBehmqR
omyE0Pnf7J3HciNZkrVfpWz2kRZaLGbMBgFNgirJVJswJskMrXU8/f9diqokE1ndNeACv1mjF22V
JC8CF1e4Hz9+DmVUb2FJDchByMbBKfAsSQJn12mKd2oYnCTa0PD3HTDfnF4kJALzYlgTU20HdSo5
HIJmjXxXfBd6MjW6rPfm8ggXqCrq4VsaBP42L4VQqtREczUj+69tu4AaOX5yVDQtBfrupdYWIqlN
AUDqTzKu30WV4yc64D4LG1w+j9H4nLUhp7FjlvEsCI01NBD8fB2N6EKOpgb8IYpQUFN6ndYeiDvT
5KOkX3wNBt9DWq5zw7jYRhxuqLJl8UadnB6ClaVe+Ir/RY7HbdhqFddJdmnkpbwI5UZaNaY/bSe/
1bZBIFuLREtOFKmsNyHMrLkcBPoqTjJ90amqtzYV6uGI08fbMi36mZd3l1OFsX2RYDPYSsY0kwwD
wTs7p/jvnEUaZYVuZHaklnpM2BfaPA0VerJqFbMPqy82ZVBvWzX6BqVgmKWIR8xIqaKF4hfbwC+n
xvU6vjA0vat5IsXy0jOVdaRLNLtUvjsYePk2Me6VU1vcIu0T7Tg8H6Q4lwWpCZqVgQdpz6UTR/5H
U7MuU4tbOh6Gldoln1Rquw7inrg5Vmpy3pXKRa6iQOjXFt4Q4aaQIClTYQAbMBZewfuY4hRPOt3f
1TVuB1aWntSa8mAYebuszf4jkTEC9moX473ODZCm8rnlO+sszVedZpxGAzAfBqWB0iJDmviKa3rm
BRXt5eSH5+kU4kWNBa2DpDFgz7gz8BooYukGLgm1rUE/oRTOT1rvW6pW37UeApoT2HeDhZmvMd6U
DoDP4BV0GxU1ar2ZOqZnZWzktQuhiNgdhNQFzYaXSeRy6hBRsyvSMD5VaH5vZ+2Ipjz+9NocFHA4
9ZEe3PwH1HgENYQK998dxlm+D9QQf/XnYawCagi2DnA5OOibfk0oZWAdoo/xSZvir8MY6hFeK7ql
oF4BcPrqMBYoqmizpMqAxtI/ATXwqHh1GD/2OYLeUfelc1TDEOoNxQ0l2aSIEZg+h8rHAhJou0uA
1d5VUbvodCp8curFazoAQSwV55PXoFToEWbPDcP63qTJRwuK3EyV1XnbII7mFeH3VpI3dVeexhJC
PJVBgwFhwNwzu2aJG+q33hr8Va3inZqW5absKLhN4bnWSBuUM3c16jpKha9o6yEc3Y34Hli1vc7C
aDFRErW0Zt70Zu7m0nQRm63nJmF/RSvgVzwdJOgW2eUYSyAvhXQtBRCSPfKRGSkk7FrzJIm+gH9/
6325RbYnuqorpDWrsnbhn5/gX5osEH9ejXmu7uRCPw/CSZ/Jin4yGcVZl7Undu3dF05/EtJEpJID
XepD2VHq84gR0WD1VelrXxkLqCLKbTXi1dPHWMPX1adQle99PIwII7WSJDy5GSzpvkW3zM0TZx3H
9m5M/GCh8Bk8Od6FU3FbR3m97Lw4XPSwjdxALekCMDwMn0lyKkjd3I3nddt/g/oLwclSTwe7XDV6
nM8wMc9mHWITdu1DOzXOY7WAQN5P67ZXZHecnE+R6Szb3tj1BHFyY3dubUeXEE5BnbPh1K4nWCe2
vOi94ksY4ExN5RlSkBN/Kmtq93HcfDEmVKiFvEZTpz9yu9ohvu+fBrFP6xNsoAy5UFLUxlUadV17
kFzq0r9WkwqZJtAQ22qcLdlOsaA9/z7zrY++N67aGJXKNE+3Y64q1DikB6RLBH1laUbNZ/5tneWU
QPTOtrF3glocRA1WkFFy6gzptXmaKzFhPOKxJsHNPNC8ACON+gdctHVkVQhVgwtRPPRRrYx3Slsu
irwFBonJNzqp/qh01QpRkq/6qKwcn0O5sA2spJAXb3LqVlmW0mYbjMuyRkKtmRKXy3kxBhZSJeBY
kNoq6j2Iwkep1yzUUVupfn4SG/oycZANjwlI9LjfRkETuUE1nlUOc697Jw0azaD0yA7fgWJXn4Os
EVIDDm0lZp5ZV2oh26TXdpVKlzLsvCskpOAKKUO4bDR5SSuEOWtV70fsI65LPdENcjRQZVICKxs+
1Wb1vYnhIhR5fsm9tcJC91Ipko2NorELDDYvBjQPNKubI/hULW2jOVO0ROfD0VNiWRK9HBES9gPG
2B6UECexJnzOa1huYTpv8oFMarwdTBoqhuGb7RFlOeMNXzRQeyRtxlA6zUoyhVjaZHCk0W50/Qj9
b8lbR+mIni5eroMN6qhPW61oPitlBcefHiM1HZZdSr1cC6nbhyV5VazCWLdWPe5E4C18IZ8a4W8w
tEL6mHpJu6FZGQQys+ZjWs+D0PmSRqImUgX0GCANBR+dfqiU1GyKszWMgzOKbnd1r7MJkHYZrGIR
EyBpxbjT22iDcgyds6qMo1Df890aQGG0ZNfVXVt159Fgz+tIv5ZDHyb9WJ1OMa0+OhxHPWYXyjSL
lIPiUJOTPxqt91CaxFNOB+kB0Qe3tro1zEfAmBKNCy298OSpoyUIh4UQpWkEY9xAb3e9lZ0M6AnP
UuAW3be/ou87a0x73RKKVKO8cqz2IjS7z7JabDwcvJHDsRZxlHD+DZk0K8z8Smudxg2nCtF3GIN+
tE44AIuwO/PM6RqToVmpNpee2m6rksS7hOQ5QASkark0zWqhIc+PEVE3r8EhOYW1pWM0J9BHljY0
GNehS6Es5O+JR6dCo7bftNBOXHg42gZS+oWSYXTs+5fAOKeOPXbuhHz20pz6rWzGroXZqhsXPnxR
KXQ2mm+0KzonL7REWlLfvcDe+IemTlDhi3mNyVNd2RJGSiiF9FJzPjbFRWPZN0PYBm5qGK07pIaD
BJyafIkxW5/7Rfcjqls6wGTAhgz6Yn4aOCimQ7a/alEhU8Pqh+GPi7ZVirNgGJZlNN3EikpjUBd/
4gRe1JlxWUleDkfP+SqZ1eehHE7otMfRrk1JyAvIiUpwQnXcDQaQod4/0ZuGY1wfNziSEkYrHqLA
gOR1/KlLUGSbK7jBLaUJ83Ib8d9EDjd4wUWUItNpPuTBvd5p7XzsgKGoO98603SuVDQ6EC74c19V
lhhURTNPK39YDTGp08Q7GP0cl+OQzfFh/5xH6gWlhysc+HpAUx11z/oOssG8kfHXkcbz2hw2E5Ce
W1nIStEXdjOM0qdiyK+TEKirz7R5kYTwfsb+vItRp9cn++OUEecnbdReVqBGSJRb0VoXUvKmh2mD
myqIGD9Vy35LUHi0qP6rzCdyRRPonTYzmjOhpVlv+Al1idXn6GjOufIxnX0xlt1F6U4z4Irb66t6
R9PJIqeMHJ4aq34erPNlsDX8dbQLVv8JcJ+qdn+LNnxtv++r2b3GGiivEb0SPqJZJCQr/6zZKTBs
TFn47SAd9FguewlvHX7iEBOLL/aNjpKN2w7i+PjqQKex/2HNjs7eV+HtI9YAmGEi3QqjB+Ylj/5z
zS5pqkYe8kE+b6L8C1i3sTJjTTpRpbaY0bhSkDBTKeckdc6G2KuXeY6+RFPr2yo3sPLLwNlD3TFO
K4okM92OcdjozVXXtx8Teyh2FQYVRUcNqrHvlC6WubJ6svtWmJb0G8ezl3imyPOCTs1WiEJkjqhz
9PpNn1VrPQyya7gRqLUXxR0CPCd5W9xUil64eopRnumXd8mI9lpe64D0fb8eimGg7SwPskv6mFdK
pOsXkmaeeGbvLJpe9ty0l7y5pFSAyElJCtrcWq1/56U2rV9jhljQWJQbHPgQ8cilqyaxE3xcMB1I
zQC6uVZxv42WNfdCU3eBs2EPeiM1FZ02UUe7r0PzklbSM7sJg1kRxF9CVbtucqeYS5H6UMTUq7zJ
v6mwSAiBGlqcBGfppKw5Bu9lOc4gJQfr2MEqU4aDRytcmvkn0eRcKxGECUN0YFaqfI3Ap0q5S982
QdG4iefhR9AYt2NbD1ya9RfYk9zoBedTaWA7qMsXQMjKPPDCy9ChYUZKe7vfjiNtaCOEZxniswwB
2p7Ck04worWovmpNAtLBkCG3ViluNRCoI2pjVBESROFIe1A4ImTKKC2jmoGKVby28wpDkKy2zx21
GFdY8CBNZ9IQnJXOzq+rB7Xs5JkzWf6l1MYyFRXjzgE0OCtH9UdCJg8qagJhBJHqnCUIgLpYnmFG
EdN02hhpvMySrNj6cX4epFXhyol93ks5BSsTRqQ/5j+o72izGgX9tlLPoA9m9Lmi6dGEsEOUNuei
MaRVNHSE8Er7zSyCT7hrtG7VUkNTgwxWEf2FaHOq1GCoQhLjf7Lg/yte/j31vVUL/rfVM+lSsYsf
Onq9bUCBrxxsN4NT5MpNpW3MpNwUZrodGmOh+9r5qMTnyF8NrpMQksl59FnuvRsjleo1aDCqv5J1
UzW+wWOrp16h1oS5LY2fZRrBI5av0rHZytiClHF0FYb+wmyTr71cfQe7y2n6xVF2rLszu4rbeWVS
PcjlbGfYTK6hS1vKqPrKlKHhtM4YQ7+3TuVSuYOho83rZvxcaCqUZaVYFjUCx3kzlfNx6DaxN8kk
OfJZn/TfA+Z6YWqFRw0HE4VcLb5oWbFzuPhNGyco+MJQfry7RqZ5tqJfRUr60gWayQGf2pNhjEvq
vknsZqNx34h8qqSlJLWj09KrVFxdUkAjiD1RUH+zo/KExOxGiadPilRf8nxUA3R0TXtnVw1ZMueB
5/7U9XOH9MQmnEZBSb6qHe3b2DjFORThxEVbbNhK8Sht8pQCdQafuovLjzrE46CIr2wzM9wi1ckd
dM2rN57FKFMVGOvU0heVV7YwF6SEyqh6GckqTe5wwd1SqQH5cit28eZCFhZfFFf1LYrxImLt6Uv3
goRakD9cRkgbYNIg32H4+yyD/R9UX+di/BsgqbmlXSS5bWuAozfSGOIv/wSTZKG/bOEL8Oe9+dNt
q4tLVn/WM4Sc8nLbAt9bVMKQWaYUiTIXP3pB9q0P7GloM2SnJpRTrKj/AUNG035B9tHOgKQDQ4a7
G6EuQcH7iU1KO60WV0OSn7dgI9MOWUEjOlN0OVIXDVDRBTlc17hoFpwZlNaoGd3pMPgXlZped0oC
rqukp6VafU3GfJvU2VUI87KRVMQEIm+HjPWOCJWdZvUrX8MYparjUyjln6coe3DCepjlnVr3ghhy
iS3aUkmpKwaU7lr6queCIwNtINrB0J8NmGzPK63LlO8IP82GrveTZe+DmGwQra7CLV35jQ8hQEIh
QO4cqqhpoUV06ksyCaHZFRsrtNJVaTlbE6sd/VrzGks04/URascOfQGnVRTWX6Pew5a501J12bVd
NAE+RCdWDQvETRz4JDQbGBJOdXYVrUlaKZaVlS+XKJmaNFLTbPS9NVNQoyT7bBWkNw0ND3aHiVoR
mreFl3tzqy/Zk3bSL6kz7KhjlK5aU2oEY1mUEzS4gGpv7nU3qux9kqpp01jSVYc9adb1G33M5p1E
V2tvIJCDA5NdmG6VqPg/h7fUOE+QUZI4Odtda5GBWhJeEQLtQK/7qmulDerHi8wjIBCyAlqFTGC/
xg4EXCddox5y6jvZWaoOZ22OQ91YXzlBssbp6QbHYlJ8C/anf24GcOhhTH5MCrq/snCeFPKqN+qr
qsFtdaDlzNQ/p+TVsmPfOna9TXCmoYKJx0nk/MiUfKEn5pmGWw0GxCu9mFwlr3ERqi+cuPla1bTy
Yx1UUNHMrOBsyjGlQCnBMSjy1vq6HtTPU5/vOmxdYEcQJOg49uJIHARnkZef1ZpzgpXFEnBzC2K4
Kkz5m2pESzoMd4XWfPdzO6JtDicoy7nGSRgikrKConOqdJAO6Y48a1Wka8vorDLVy3KkcDNJN0ag
bRJ6x2ZJiy9inG5qRST8NtyY8sHRa66n5DNw4U0uB1eoWyy9wjhF22aptine0x1uc6Ny2uuoSvAQ
rpMp9JQrp14Hx8RSYD41p75FihmSqQ7BJq+hUqGN8VBZ6lXnDFfVGDszz++MS8tAgMXsgzPT03ej
oeIOkKCkDtaAYlqo5qg9iq6fmTGU57JpYDvFkmodfZPAnHQxTqSUUTv3oz+c0RI4J3AFqfEvh7Ix
5wM9edgbWnOtLL810cjy00wK3t4K1HRcSpr3DefpXe9gPmGn7XUM00CTNNBFvanRDp9QFwGgnmkp
lWwpwLS46KRsoQbKztP1K70C3sXQDZ/ugW+cDoyLqJBWtZ7OC0wnoXvFEqKiuNsAwuyaqF3FHg15
QFAyuCTOSJgzhyqVOKetL0ovGN1Mr09UQir4LfVJkmIv4sWnWimtYC4sUrM8K1QskvoyvUN9hi9j
kubA2P088kYmqzEvjcTe5A2UX8RstFkWI4cHH7jBwLt1cxkteTUwIuCd4jQN0duIgQloePnSWAR2
o5rS1plOZ8RhuyEO700NxFWyIUMXqKgMYYDyatRdmZn6CZGerUSma0ttskRBmGgx7HeGg9h8p3MC
IKGCKl6RoRVfeu0M7/ByGbXjaV4q/czUwvM4Lm86szXdIBiufdNgvUOdy6TG7RBK8BKmJihTSC9V
dANglblOSIJAqb8/nXJKiYEBdvOfHPspx+bC/f3df90mt9XDr/e+wV+93PtIlZOMQmyh8KM8cVxf
7v3HZhUNpStsFEzEiblyX+598wNFInJsWfDdbVvk5i/3voF3LcV+cnZWFumx8k/ufWpFb7Js3pi+
RJlnoDuRotQblIaTXi4phtKukuTQi9AcoQUKknpMx5bcoWlUJaiNeKE75t4urDD2NJS+dqusu0jr
fGM5noSIJ6IHTlfOayk8CdpohwlsTzwefiRzvO/wLXelvLNmkdSnmKuqWHMKTRTZ9N20xglvkFEi
oSpT61+cEoMFO3BgMgqc05GmJTZjEvpIAT3IFUmej88Y9gKfDDv7Voz5TRegtZQ3deF6pvmpQrA7
G7LPjSN99jJUmpCX0LRw18XBKR3T3+qcTpzQsS4qzbhLgHIXKR8Mn5PQXNHivG2V/Gs6yiOyv9rE
sKKHJ+kR++hvRrWoFmiwL3V9wuAy0npX76E3xpJ9jyOiMbcT87Rukms8/GLX9o2FEdtXeejcl7Vz
ERq0MKslFrqyHzULr6d5sOhgAGR3XpN/9Uq09PLsjtIh5bO48hdthkFGbaUXfuGsw6Ce4cv5LVGR
0ykSu5j3JtWSvsjvesXBahvLzXSseowVtGk+6ikk1hKyE42np7jtbUvdO818KtZwzJZj3i/lqt/6
jrP2VeNqnLofoR49oLp4rQF3oHz+JfWndA7F9AxCquvIgAt9TylFlSPcE+kJuoTOuguc4QdXYT4n
tFrlsie7bUXFLpXVz7pvXOkNDrB2GF/rvvqjVc2OeoL4c6NtlySeX1Lg+DoHjCXw5ZJGMwjqcwR9
OvmaI5+/RPTzjEMXx7TYQqhAoewvwzMwp3gpWwWd3ba8KpsAdDdGQ6gt+NbSRu1dqCvzVocTWSLl
ZIZ1vfLq4iT00nI7pTGxJ2e+KKhdWQnYY0aAUOr43E4eKgMxvGbohsCnUx2BmLLiDDoYXXtiEY81
32GqFv6ir6aP6J/xrplNdbJbenL7cbK1bdjH2sxS4UnXpQfim6D7g3rUHaWWLzYy/jPLLL7LCt7H
We65VU+C18vhmlKcRFk0WMsZXh+SFWeuLOcrkxKBIqNKWcuSsyaAxHOwsx/SqDzFxb6bFTWefpXT
bEwfe0S1Bbzx0+EmL42tp9ILw2pMuTOa7zXUcFeuFCocUzFdpFR8TvQshmgJs8jfJCrez/M47j/j
LFl1iMHVQfiJafCac7URFpJmaGhL00vl7NpCdTCf601BYo6aax24CIdbF9DeQpgTJTI6Wjn4X0PK
g3XCEprpge6dFbgKRg0MScxX8W3314EFrzIoZaEoZgyXSLxtPb8MtcVgQcxAOykBULfNuty02MyY
1IHRvnEhQCXpvB41dIuSS4zQhnIlR5r6Je6hM+9AYVrOmSRQ5oNp3cl+i/VwbI4V6gS9lzsTdEjd
KDFYVS3/Wm6spP6qYtToUW8EYoGikpreNwTMAn0nq9TsYNYPbfGf6/JJC9Lg9vj9dfk1T/YIQIq/
ebksaSPhwkP5EYcrGBQGjIaXyxLxbBpMuA/JeVH3Fy5bL5cluDOdJ0i0CPRZSKz8dVnaH3BmF6w5
5CT5Jbr2/0GSDK3pzWXJALTyw6Gg91S1LYeH+DlJbioayhM1Gs7ph6c6Zzdzy6uuGzUN3EjlCJ6U
LL8OyYfZNWn6sW69ai3JClXHyUP7GGNLH9pbMyt17Qyin4xLEdWX0YoeNMTLEMqQzZOg7L47bV9c
5yNAVlwmw4Xj+4UL+mS5Tuvl13rd7SqZdd5kzrxD7f089fGl7vvMv6Ioma1a7E8Wfucp81pRbkBx
k3VC5RHnT21FJrrRRvvaL9tqOegI7JERY1YYDqnL3fON/v1+7QjH30kNb0qd/CoAfl42k9O6Ukw3
psIUnIcKdiPYijoYoOeicqbSBp2iX90XuGokvoY3UIaCuO9DDkT2HjGCCAy9TU9bmj1iB7IFTbSz
Jsd8JMem1ggAelt9EVu+vFD9bhtXElpv9idmc5fnNJDIDX2POQRqYvPgm9HplK0dcAMcRX3cxHHm
SBZF4EOB88OPjQ72RR0S+ZBMsbBW8tfxRMuoZKYPmo9Ny5CZW7MiI2gmemjwAoiWDVH5MvB6hC6N
6StfdATrr/iYS96ZTv8+EPRaQ62OT6Lde2N9IdVZdxrbdjWrGmFo39tn2uSACnrTmZHzlTYFtqRj
T8eC9p0Mm1w1vpO8AiQ0CLZYop6bPVRh+M3NTPHpJZd6dWNQR4OSiwpJ7zvn6DI2rpqKAiT8iCGF
OGFp3sxQgq+FP13qOpo3Je7b0jBJsy4jMWR9YABvl7F9ro0cjN9FfW7cWAQBCyvwTxB0maDtK5U/
R34SDoZlPEgwIsLWRjFHGinu0mzoOZEBMz/ZotldzSyDhho1VU41iwwo6ZCK9GSF1k/DDlejEUPe
JAWupUm9qgyjIw2pMqrd8V2pQnzDQWJchOmIcSwuWgSEXNzxxCTTJ7yRxrp0UYxR3J4N7sqsVM0v
rpIsG1jZ+mawnRpFglS+zgIPERVdXyt5NswqI6Jh2DHTuer17qTL2UwbvYdxVNehZBub2DCuq8aj
MydrXCvWXGpMZ3ptJJteN+Af9K08sxJzI9mVfm41I+1OSBu4hRIimlnpH7sYkNhrjFNyM7KxbHRc
WTK2FWISW2XMT0o9UTZlHvItNbiMaV9qxTuXen+JJsGwJCxcNUjQU99Nq1U9wlCESz63y+R7kBhL
Oy/Y6myTQjAs1RSXcCiXg+BexpJlz6neKueBYGZ6gqMJERttGgpY3IneWVdK+Qw/MygqDm72GXiC
RpIHeWu4HJUaGaKyIN4bJ9y7BD9ULhsMXOtcX42+B3tU8EiLMjtB8shajIJjWgu2aRkp0krPYaDm
ZXFpSnDsJ8ipkux/KaRUu1CjcHA5/eKNRFHNDSC1SgTAvmC5mtBdSyvyf9QQYJ2AbXxpQYqdHumx
qC1Alf3/Jd18RsP3iin/KRIgfnqRh1lznS/eyjH/W7/0ckftH+j36sw/Z6JQpIF4X13Gj8/0KA39
d0MktyhIt/coP2vWB+5VSlSI2zy+ICAmOUIiTz+mn5xisIKgGZkjqoG8fv4a9z/8r6LUv5up/+sk
iNz7DQ4v1KL/8Uwwzk9TgeUiBsXoR5CTi5f46c9TgfAc6Qa2FvpTVf6nhfJ/+4D/zkT9/mvcMwnG
W+GNf2c5vJ4EHf8S2Gr0GDx93aASryaB9YAqhyKbonrAhB/fJIjv7cCVgMKIwtdMnLl/EkQMy65R
FCEQfoSTIB774EmwcNPSgaXggjy+CLlfrQRhdUNByxIFqyOcA5KMty3v/3w3oELjoBip/G4hsBvo
lsGy13raece3G36pbP7zScCCCLM1pgH+jniJA+PVuaiggKaSMgnBtONcCU/b9InX9uel9S+uydfn
IlmmyEoR43n76WWWwKPO59MNepwnArvh6cs5ZA5ArEGjDZK2pxOBM+bVQhC7AfcEw1aeMILj2w0C
+j7wbqBcD27hsNqfJuHtBcmxSNGebhLlaHfD4XcDFyQ4jYKE9JslID49tRBOi6O9FQ6PkQiBRBjI
tfCbA1FIQtogSEKv6ygPRAGtHbgPrA+Abo5pY6L8+PplH6D8YkMUVcC4xOtoz8WnYP6Ac1FXPlgg
kpYqzgXx+iVSIqiWdY1I6Wg3BY984HqwP1goboM6Ps2BCEBfXQ5kT5yYEI8ebeKOdz0IY6/DpgLZ
V8G21pEbfDsH+gcU+CgH0xr4+DrS4+EXv6d/HjQa5JGqqTjCmel5+79dDqbJKlDUp9vo+GIF5fCg
UWXJqwjrkS8/vsAoXk2CYnzAi5OAisjyeZKO8roQDqeH7QlwJuoqdCGgzvWy9F9NxWPtR0ZSU7AW
j3ISlMPvTJOUWiVyQjN87ySgekpobeI4f6yxo3I4zGZ80BCpEHJtT5uCbfZqJZBFiAibbpWnS+kI
T4bDb0sdowoVLQ8dCFe83kZPrASRUdNg/gRGHmv0pBweTZsf+KYBkl6m4m3gwHqAUY1Dh1D8O86T
4fCskjXPLWHBEHvaFJw1rzYFxyOEMAUZgqej+Pg2hRB9PPCOIKukIY3g6CljEJD+60mQP/BDVPbt
p8TraDfFwdclIaQO6ChMMp9ee6bCFAIUMASPdFMIYseB60HQKlXEvPXf1KZIKVgtioKb5pFOwjMG
dEByqZkfKEoBp1jPYMPb61LYIZkATtTnjnUSnh7skElgJQiRFoN21b3XJccj0rJsBnGRHuUdIUzR
D94OfMusA/v5UHi7ErgoHRMJXjS7nmbpWKfi6dw+ZD04HxQRQlsIoT2+3k4FgsRE2YioCSzmKNeD
EEI+cD1oHI8yEkXPcbRA2F5dl9DS0VSnUds61pPh+dw+YCWAvXE7CGa7+bTmf4Fc5A8G+vY6+cSx
roTDTwY2Pn36YG/PhRkW/auVwB1BqMAsaUcLSB8ePZIxUYf9E4/+BYXleFRRB0e64Gi3w+F5hPmB
/lNEIOVnDssvcSOqDwaWakgYHul2EKDpgQcjK4FuWZ2M8TfBM8wFYmeZm/RIJ0FYmR44CWBNBu1I
hI5PByOL/vWZwMkpQzZWjpbN9Iz/HHA7aGx5JEyhMz0Hz3u2A+q2OtfDsabVoi3swJWAdZ2ou+Bp
97QSfsGaYPoYmkx/2lNMcnzYwnON4JCVYH/g5BfT8JxL7lsJotmOLs+n17GeDIej0EgJoylAyvic
JvwSLYiYSvwPlFa8jnVVaIfHDNTjKNTTU/IMu71dFYTQABAyK+dYl8NTfnPIziC3JrPWcT7+zW2p
MAfAs45z3Kjbc2x7yFRQr6Pr1qBm9+ayZB3gkm6zUJ5v0yNdDsKJ7sDbgtQa4z1o0M+5xNupgPtq
ElewHo71ynyuIB6yECy4K0KT7OXr/uWIJIJUUVFxhNsrE358V6Z+eFap040H2M6t+eeV+CqCFIUZ
B/khzAmP+soUzYIHbgr7w7MEz+/SqseTAx07QQ89zvXwtFAP2xSiIEmF6neML+XDo7SQcbS0N/3w
4Ak43tIRU3jBm345HuH+gTLQ4Xqsx6N+cG5JdQrCO/ch7qyPL6b11ckAHM9lKSNqcbSTcDDUIlh/
mrCAfemP+CXBVpHRhN5DdeZIzwTj6ds55EwQQLwCgQlUbf9KoFOGmrXNajnSSXiGPw6ZBIE8klkK
2O3xxVH7djtgy0PR+mihFuHzeNgVyZkAi82E1fKbaIEzgZYq0CblKc841sDpmbh+yHqA0aLJ4mP+
pm4tkGhHXJXPNfLjix6Ng6MFQYKF10M29Rwc7gmhBQRL8Hi0K+HgO0Kjf8yC7MfnfHskcHtg8IXi
8T/49P/GOvmz99gNwuT+sTUZQ8THTqenbtN/+QsvPbm/DvBTz+1j5/Gr37wei4ensZ86c8V//8/t
fRpm87BuqvCuUR+zpJ9++pI1Pb7T898/f8Rf3/zVm718rpd/XIcP1W11h+btY1fw84Oe3aZ0OP9v
wv/d377tGBZY6Mu/iff+7/96/bA/nYd/Pzr+bw8vA23u//u/qDloAih5+bdDBk9v7/PqZaCfBmfN
/DWP/8cnnyGJuO/BieUOHtu9TW47vpL6Zayfnp044PDx86Stf/lKmXWyr3cYPGuq2z/cvG72vQU7
+eC3mD8kf5zl1d75JyY7ePxF8sc8r1g8L2P9NP+cwwePv6wwWd03ONnQwYOvkocsexnnpwd/j+26
btPveXLf/Dq8aPs4+NE3afFQhbfJy1B/Pb1oJjh8+GzcM+mCl37w0CcP1Z45F5yJw4cOM3/PQSCY
wwePfXob7znDRPvpOwxd1w/75uQ9NuhpXv/xv5n/kDzsm5n32KK723sO4Jd5+GkhvscW3d1W4b6p
eY8tKsYu8n2nu6DQHfy17h6y+/wu3Hd6CTGHdxi/unu4fxnor3kXrX+HD57z7C/j/DT2e2zTXb53
Tt5jlzJ081A9jHue/D126tltsWehC+jp4Ak/e+huf40dcWF9jy16Xt1yBLw85U9f53ts0Yvk9u5h
T+woSukHT8tF0qb7gjvtPXboVUjoWIf3e2ZGkCYPfviPt3cVKUHW7LlLtffYpR9vsz9mDwh97nuD
99iqT29QZbfV/d6DTBTG32Gasj/m4YO/70O8x64VH2LJDrgL67t97/Ee21e8xza/Ldt9t5X2HntY
vMNpG9Z/nH8P62Lf53iPzSzeZXfbPOwb/z32M+M3t3/Mbqvvt/tiBlFLfI/1xHu4qGnvOaxFGfW9
3qFqp5fB/jpTReXn8DcIbvfmhKKicvjgYBh7p+ZdNnNYx+GYty/P+dPEvMte/jvb80dI5gAU5COB
yW9tfA8e/F9Zuxz8BgJm2XMPC6bGwWvm+iG43Tc1As4/fHBi/LDZE7QJcPjw0f9OV//QSb9uAYjS
fbicQNwPfvZPjNDu26tCf+/g0f9GQvnQefkbw8C/H3ofLPsn6+VXsPZF2HDfn73GosVv3CUPt9X/
/D8AAAD//w==</cx:binary>
              </cx:geoCache>
            </cx:geography>
          </cx:layoutPr>
          <cx:valueColors>
            <cx:minColor>
              <a:schemeClr val="accent6">
                <a:lumMod val="20000"/>
                <a:lumOff val="80000"/>
              </a:schemeClr>
            </cx:minColor>
            <cx:maxColor>
              <a:schemeClr val="tx2">
                <a:lumMod val="90000"/>
                <a:lumOff val="10000"/>
              </a:schemeClr>
            </cx:maxColor>
          </cx:valueColors>
        </cx:series>
      </cx:plotAreaRegion>
    </cx:plotArea>
    <cx:legend pos="t" align="ctr" overlay="0"/>
  </cx:chart>
  <cx:spPr>
    <a:ln>
      <a:solidFill>
        <a:schemeClr val="tx1">
          <a:lumMod val="95000"/>
          <a:lumOff val="5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1E8C9A06-471F-4595-B92B-280653B2D905}">
          <cx:tx>
            <cx:txData>
              <cx:f>_xlchart.v5.10</cx:f>
              <cx:v>Sum of Amount</cx:v>
            </cx:txData>
          </cx:tx>
          <cx:spPr>
            <a:ln>
              <a:solidFill>
                <a:schemeClr val="tx1">
                  <a:tint val="75000"/>
                </a:schemeClr>
              </a:solidFill>
            </a:ln>
          </cx:spPr>
          <cx:dataId val="0"/>
          <cx:layoutPr>
            <cx:geography cultureLanguage="en-US" cultureRegion="IN" attribution="Powered by Bing">
              <cx:geoCache provider="{E9337A44-BEBE-4D9F-B70C-5C5E7DAFC167}">
                <cx:binary>7H1Zc9w4su5fcfj5Uk0sJICJ6YloshYt1mJJlu1+YZSlMgnuJMD115+kJHtUrCo3dcJ6OBW3epZQ
kwkm+QG5I/Hv+/Zf9/F6Vb5rkzhV/7pv/3wfaJ3/648/1H2wTlbqKJH3Zaay7/roPkv+yL5/l/fr
Px7KVSNT/w9sIvrHfbAq9bp9/59/w2j+OvuQ3a+0zNKP1brsrteqirX6xbWdl96tHhKZzqTSpbzX
6M/37iqW37Mylav3m9cwXMtSXa7euZnSw/9Wqe7ev1unWurutsvXf77fGAy/f/fH+Jlb/L2L4RV0
9QDEhB+ZiAtBCBOPP/7+XZyl/vNlA2F8hAjlFkNw5emxF6sEKF/L1yNXq4eHcq0UvOTj/+8ZZeON
4J6/Jn6V++HrDKj4ANCf7z+lUq8f3t3olV6r9++kyh4/X9m52fDqn24ev9Ufm7j+59+jfwFfb/Rv
XkA//tT/dGkT3X9A/q8YPvTDW4DOjrhJOeY2eQKdbYOOGabMhun0EvNXcLQb7vEAE5AekxwYyLN1
/O4iAxHz+9c2RUfMoozhYYEPvy2Y6RE2KQGYRzi/iqndSG8PMQHrbaIDQ/uvOJfpG0ANYtwWxLKR
RZ+gHotxJI4Y/CyL0fGSnsrRbpxHbzQB5BHFgSF8W2VxlbwJxuxIcCwopcJ8/KGx1DaPCMcIcUw2
MX4NT7tR3hphAs5bNAeG9F/J6iErf7/YhrVMQPWamMNS3bTFTFjEGAtiPs0AmAAb2nkyQ7tBHr3Q
BIhHFAcGsFPpt1DLRBxZCBNq7pPVGB1ZFrURwiOAJzO0G99N8gnwbhIcGLouyGn1Fsa1AKNKYAK6
+ElMg221uYrxkWlyYgtqba7f6RztxndEPwHgEcWhIbyKV/W6XKk3kdFI2BhhxvaAbB7ZfJgG1B6B
/Bqm9uC8NcQUqLeIDgztefxulpWgkt8EbYaFbeFnd1mI8ZIGxSwEgjCJ/cMye6mYX8Xabsy3h5iA
+TbRgWG+gGBS+haA20eMINuyEHpyp8aAD+4Ut+AfNJLh0znajfOIfgLII4oDQ3gZr9P0DVY02GDY
tJDAIJ7H2hkJjhixRjGRyZzsBnaTfAKumwQHButxlXzL4gf9+5GlIIq5jSjdRpYeIRsRE+KeT4t6
UzG/hqXdEG+NMAHlLZoDA/okydelXMW/H2iCQediblGCnkwwCHpsrGRkHVkgwi0EvvTwGzlTr+Fs
N95bI0zAe4vm0PBOu7fRx9zEILHZc3hzSx/zI9DUts35KEt1MpGfPQi/pJ6C7sv7DwzZs3X5ForY
OiLsMRbytEiHVbq5isVjghIRDNmLl0b1VH52I7tBPQHZjfsPDVlIdr+Fj2wfAWiQRqTWXiPahmsQ
5hpDO5WhPdhukE8Bd4PgwND9sIreIuEEyxI0LzMhGP342xHlEshCNmejAMhUfnZju0E9AdqN+w8M
2fNVKfPsTWKY7IhyipnF8RO6O6SysCnjGCbA429TNr+Gs904b40wAestmgPD+8NKqfUb6GBwmSgk
jrl4BtscW9IYgplwmXJ7JKinc7Qb5RH9BIxHFIeGcKbe/ZX663j9FvqYHpkWxoT/0MdbNQL8CFMC
uUcQ68Nv5DB9eB1zexDfMcgU2HeQHRj2N6v03TlUqr2F+/QozhmDCpEnab1VCISPMOaICjrC/FVM
7UZ8e4gJeG8THRja56sHyEy9QVTEPoK8FAQv2XP2cay5QZabNhR0UgQ+9Et/ajpHu3Ee0U8AeURx
cAiX8g2UNYEqIEYtgPc5GTWW4lCwaxEEqlqMQiGDeTSJoX34viSfBO9LggND9yZLs+Qt1i8/okTY
goFl/fjbssUg7Iksm8IK3ly/0znaje+IfgLAI4oDQ/h8Xd5D9bj72yvu2RExbWFz+zkNsbWAwRzn
SIAVRh9nwEglT+drN84j+gk4jygODuf0IbuXb5JGFkdgU0HdNXtOUWwpYwK1QswmZCjN3lDG61cw
tQ/n8RCToB4THRraGYD9+xc1lNpDVa6AYKb9ZGFvpZXNI4tiqPhDo9rc86kM7UF5g3wKwhsEB4fu
myxj8IuhcP6nwN7aRwHVIOA+cQHBsNEyBithymTbh+0L6knQvrj/8JDV63LdTfmar9wBZx/ZzGaM
mPssLnRkg8Flk/FuqHPYmTeVp70Ib44wDeVNmgND+mKVv41djcGoppBs2mtXQ10IFGXzUd3PVH52
I7xBPQHdjfsPDdl1vXqT7Ywgfm3MODGfYx5bPhOCHDKUW1MxykVdTOZoD7qb9FPw3aQ4MIQvyxVE
r99ARhOo9YHyWm7v294GO1ot2BZjj4PW0znajfCIfgLCI4oDQ3gIzH6opHp3+U2qfJJx80p1bB1h
jm1YrvxJUG/5TJCMgloR2B0zMrb+F6ztxnzfQBPA30d6YLPgKl7dr99m6xtY0cNKf97iuEuSs6Hi
Dz+5WaMpMJ2v3ciP6CcAPqI4OJwr6JLxBvJcHAliM9hQ8Vxfv5WQMo9AAIA/TUb19VewuXYaR/sQ
3qCfhPAGxYEhfC1hh5SSD2+jtAU3LUKeK/u2S/sgEgr7p6D8a7SMX8XUbpy3h5gA9TbRgaF9s7ov
oadIqt9CcfMji0ETAtDbe5LMQ4xs+AfKPYffKK79Ot52o75jjAmw76A6ONzToXlQvHqTlDMsYyga
gULAfQkNdAR12Qj8r5EwB2vpNWztw3x7kEmgb5MdHurvnDU0QXqL1W6Dw4WHfex7inthEzs1sQk7
cUY+92AiT+dqL+bjMaZBPqY6SMTLdFU+vE1CC7ZQwdZ1xMlz1e/YPkfsCDqUmGDDbwbCn0B/DWO/
An5rnMngb1Ee4ASYybX/Fiv+sfCAWbDnarxFg8HGOsJhVjzLgm3sJ/O0H/bNISYivkl0YGDfgSFX
vYlGh75gHNa5ua8p4JDwEuCF2+aoxugVLO1GejzABJzHJAeG8k2wepPOj1D1Dc3AYN2SfS0sMLST
AnEP0bjRgp7M0W6MR280AeIRxaEhDBbRAiLn91LdZz8+9e/o7clgK7RpMjC+f0bLNvbWQakghSan
Fic71PVPjqaEf/YA/fLFfg4zBe+dhAcI+2m2KqppVZmvDKNDmSgUiVIMAD/+xpYa2OdYwN48IZ6S
ZlveePruFcztx388yET0x2SHhz14vs6q/PY2LjkdFvZQA7y/f4ktOKEI2lA9/n6Inafevk+O+SvY
24v/jrecNgN2EB7kHHDLqv8pGp9KAH+H6IdtAIwiav6oRxvb7CD6ocEgaIdxSvw5JjORq1/hvvFm
k0HfoDo0xOW6fBN7HbrZ2Cb0/uRPkdVdG/jgIggEvlvYT+ZrD96b9FOw3qQ4OJxVJLus+v3remjp
TMBgwz86d4PhNjbpbOgDbMEen5FIl9N52ofyaIRJOI9oDg3pLF69KLr8ffJ7KDmFNPhQlvj426qC
APlNBSznrfDqZI72oLxJPwXjTYpDQ1ivUqniVfUWaXAG+6pNaDVm72uiAIVr5rAnl43iLHCmwSu4
2oP09hhT0N6mOjTEh7a/b1HcArtBCMbQNPTZKN+yyaDQeFj1W2WKN5M52oP0Jv0UlDcpDgzh23Ww
eovNexBSg2ZjNuyy3+N2gdUNHWEhJYaevPKR0z2dr904j+gn4DyiODScYQMqHJPzBmYYNBmE3kYQ
YHl2n7fqlzDUL0F/SegCvWmG3U5naQ/GowGmgDwiOTSUK6hreIv6JehfRcxhpe45b+ExCzJUNlgj
W/t2Mkd7MN6knwLxJsWBIfw1i98ioQlnpjBoKAjrdOxEgZfFoA0KtAvdXL1TGdkN6wb1BFA37j80
SKtvUJD02/dWDxtuEbT8hK14j7+trmRwtAJ0JOOQ9xohO5GfPci+pJ6C7Mv7/w8g+2sWN154ONPs
rx/fdkck87Xn00FBCZyFYUMge7cjDELYRtAtAXDfFcl+ebLeXu/86XC/7bPp9p3K9/SKv/4ob3Pa
3P6T6H4e8jdb6dX88XjAF4fR/frq46SGsw1HpM870neC+PQtTx7+fG9B0ccLUIcxNraybyPwX6o1
pLb/fG8gBHVFQ18qE04is6CtOgzYrJ8uYUhlDPu6wFHmMAuGBkUpHJcW/PmeQggEDbtyzQF6OOQM
/CmVVcMl6A0MdcccGtRB+hqcZ4F+nt94lcWdn6U/P8jz3+/SKrnKZKrVn+8RPCN/uu2RVdMSYLBD
K0MbojEEUmqgL/L71fXQNRLu/n+6J1leVFV7kTZEzOvGC3InIyGL3Ig19UfbsLrTsK3TaG6akf6q
M1p/iqhqC0eJtPj84uvt4gZsyzE3UGEFnTWhPwQc4jfoqJfc0LTLIxFU9QUuUnThR33qORXL7MBt
a50Jp25o9ZXVuSGdMuG6cIuwjHzH6xWjLmy/SB+E1uYljBFUMxzH6FNvGRwtO9vy1qgzULv4NccY
OpNscQx7bKHBHOQkof+2OeJYsgCw7fQFaS3fn9ltH3+qIbpFFpp1meXUXYvCmWQed3pmd9LpIpMs
k7rs0KysM/0QtEohVxq5NVNwOGft6CQwa4eVVuTP/SwMrqJKnCZKBGoGmkHcqaA4i+LGaudSGfa5
LIM6Wf76rbZhgI0oJrSghuPzoPzp8aVfTArWGX5j5LG6SLUn7jKfI+zQCMPUyNOqvWraUtzkHoq/
/Pqxw1x7ORehLQgcxckIHC0CHYAwGdh68VjLbH2aKz+9SHmPLlAUVBepKl3JveDu10+C5bP1JAEl
nAz6/oFC5aN5lqe064syyC54btJV0WRlvPQ077AT5cHcLKq4d4nZ8cwNidUk/zRphkmx+aIwUaDn
M4UjVKBt+/jxEBmVgZ8m8oIVkbVKwspaRfHAg9Unam6XWeZ0JkC/bOKiwU4RZWytY6FOGtHRD61N
StMlTZhFbsjS5BMpc0xmAe+6dW7U+cw0+oS5lshoeWwRu6+cX3+94SCIMf9sEBuQYYWTNMHO3ATK
tCsrtSzPOEeVl6xkqZXvICPSKXVI16X+aRPI6JvPRf6h7YtgYWe0lS5GNfuuWd9nbhf4zKVZWK9l
SdhDbeUBO/01k9TaAplQApNocGOhVYnFwCx6OZ3skkuzDDQ5D2mRe4LPtAj6ZatbIha6riq3bAvz
Y510VuUEQcDcEqVLhct8GdMcu1FcJNd5bCWtw+LG/9yESXbSKa2d3CryT7aK+MwrUs+tsjCUjtQk
bBwvVOlFkxvqsjB6Mvd9JELH6L00cXEdJMeWreNrHPpXfpeS1okrVlxor7jVODHIzK4xfEjZYZAN
tOp7x2x4+CEOLP7VMyt6Gtgcfej9thZuYwY0gTOQOnli8LJLnKbj/Qw1ljHrw/Y+V4W+qUyDBU6T
aLbwVFGdUA/j2yJATbT0mIGk0weR9w2K38vakWlh/F0lLJnlucInUZbmJ6gQ8YOscxvWPUmiGym8
ljl1Qf3T0isrt4PvsEQUi8uiSdo5bcpigVCL6nkMZ+76bt34vHBrHHjzRJFyVuXiMvAM35whlOlj
UDW4cVMztB2uWfylTczgDJciv7GItpaVCA28UHbSr7idlXNltmG/qCPuL4y2NVdYxc135ee55fZY
m5WT+rj2F60OM1gcTTPv/LriizLzglmsSXKcwq0OtH4tM/jQSc2cUIWh4TKvYQ7LrLZ3qI49l2gj
TZalHc19WnXmx4YgCucdl2bshDCT9ILoRqhlS1j7wY76PvY+Vk2hk8TpZNyl5UPgBRj3X1VjtCwJ
HFGCKM/ucZeEmpRwLllV5eaFjnQStadCFv2yFpX2TpJSytwJcZzdmMwgJ2FHSOVWgIHndIUpWoAr
4XyWeh7oQx1HTTG3o8Y33TLWyLsMCtNm2XHUsSaYdW0s9AdbaQIzqvEypBq3Al24sI0g9C5rWDq2
7xY85zDhSKSSRRrLUjhxAcrLm7e1tF3DA8vVcjrPTCkc4ewliRuIqvEWTcziZK48sAoWVuonvct7
CyRmiiNauUlQGrFTq85XV0oaSTLPfMm/G1XNpDkzM6yXkvKKX1iG53unKWGaWaGbtqrou2MF2b8y
mOd+wJK5p+q+WIhSpXLRxXbSHZtKJblr4S6WLmutLl6WspCGC7Diz0ae9GgGm7aiZAb/NY3LODQN
BZ88TT+HSSKSE1IKHc+jQNvXfaUJWYRGhtFZ0ASKpQ4LcKCXXlnn6Q0oY3Ia+j2OFlUOHMwzHfv9
nKO2Fy4Pu7w5T3gHU9uApVLOPISq05JYVjzzPeJXM5bWAKdkCuyTtA9Jv44j6I4248BAMiNdEhQn
yJT02Jcssl0cRQWZyUx6s77yIssxmjIXV6HXhNQlsgh7J8nD3jgzvZguUO75FrArWD5HXdBnJ4FE
jT+PBA0aZ7jPQUKKFKaPTwq3baTRO7qVxt8ltPnvDEfCOsIXqE9lLx1eU4PcdnGDqws7F102S0Wh
z60qBZXkKxYBgUgIfC1PBij92qM4DU6LLonbhWqsXp4h7etbGmJrZbVe4jkcweRdVGnLyFzZvQTm
KxQms5gUkXJ5480lksXXuGnAsgj9sL5Rlt18y8uAHNes8b05jywTOyn3YBwrzsJ2kZY1uujbnNCP
SlvoFmkD7mhsQ3FXo4618xonoTwuW4ybk5T5Cl9Kg4m71CyGyRmGhVqyWAXqqu2o5q5ZNIBN0KTA
WKZA6J6BBhN3hJswuxOQkuUMepm12YlWwsNXYVlF0TXmqaAnLQ2b6ly3ejA+g669siLDbudZk8Cj
s6zva6fFie6XZsSGlx9Yb0A+AV95gi6olcJbVIUFnyqIsqh3RVTD0sljP5If05LBki8rsAp8uAYy
Fes0uCwQ7crUIXlgAtxN2VbniRHkypFmVbSLFnrAkHlXF3gQGrCYXHgjECCtQIOdrNPkzoNDwE55
LSV3eGBFMC863141KQE22jLsroluTXXmg5kbnmV5GoU3HLTFUqUmuiiEX3yFbTF24QQ0kPg0476o
zrwg8+tZV7KiAQO3I8scw2d1TVZ091EcWVdtpczsuDC7Ovrc2ImvjhPPSL53vRhkiCziYAZ+ACdz
ibtALXI7EZ8N00sWSZP7hcMoiLmubIJrmWl1JpIotGYWLrEPYg9OiHbqAIu7MjRqfx7jFJZJb3hE
nNA0Q8U6AYHcncKRSLA2mkFiz0PLgC/a1n09ByXTFGeorLDteiLWNWhaUptgehfh36Woxa3RgZl+
2gtdoget0k45CUKsPpENhqHaBAW9Sxvf9k9ygKVxjUjYiz6ra33ediy+CWtVOJypY5q0tXXcNzaA
E5lI9cs8jrLsPLVb+sHQJs3mQZEm9ZnfNXngckslwS1YIurBFCmIERCdqnaiQDXKEU3NC9ACXXET
+wWSX1DWE147PVhg3adcE0PAYMor5wEzIv/U8PLmW+CbRu3GTNnRiRQm+tgqw+uXZVUoOZd9BZNU
Yh2SqzaKe+sisfM4doq8Nu1zigLauh1YN2reBDmg1vBU+k7ZswRkh1LxHLWkLWd1jHm57HkBsz+i
rc9mndeZyvVyZRefG6tDt2FQwlwDTSfuYK4n6ioVKQIBi3MRLngS2I3TVl8xrxqOnCiq2ScLp0Uz
ayxf03Pqxby+LjwlSlDuMKPnuSSAJjgOXftBEh1lH1iZB+QKt2Zsn3htJuC92tbwz6PSyJtZojyQ
GWCNVfo8jj3gvxSRv1ABj4JZ05rmSVdQWPedbTPpUC9g549W6XPs4urJyH9ywO+zvCulH+jRn/+5
zRL4z78Hmp/3PIYp/vvXubwvM5V917+8a7nOhppGNb5pY2R4+jN3Q/hi44+tUMqeYMn1WlWx3nNx
fyTlZ7OhIdIArYmIZSLwhP54OdBGOOXHgVE/QmybdD8CKphA1ARKwuzBtId2sPCYlwEVOJjBgidB
KpINzcx+BFRgy54N0Zdh5wdUjSMMLs1zQAUym7BhF/yYYVTokQQRmh8cbuAJQaTnv18GVMauEUQt
CJSkDw2nxdB3euQa6aprCjAmm6vKPPVDF4Rqpv7BO4dKxw3/C94CzndjUCMztBkAk3/I0bz0bJBR
kjCMVH5FGhGayqGWiiInIDglV4FZFvWsyOw2+thn0uYXg2/zpfQZjj7CnvbODcykxafYzl0Fyq0I
YOl48dwmct5L1DlVT9yui688cCXizACXRxwbRXajzdx3ugDN+4Jdt1IdgwRKnCABzSw1mlm0OIUl
dmnw6FvcRSvD88Dgz0/COPzS1SFyexlc+lrNOY5PWACCEbXl97JiIAplM4sLypayACVoJCh2QDQf
F3UeuRULPzF+XBDlwut98W3zBERi6BCUnxZtuo4hMOJ4LXXyLll7uZk5PMm1k5ktdwpVLvK4+uBp
1sx4WhKnbHDk5Mz81qr0lFAjmSGa3tbIPwXX6FPZBrGDpf4cJZ1yg665VzY97WiZLoowP0+DtpmJ
gpGZJT3L9bLyBrKTJaioTM/9jpwnflq6WpGPcSN8t6+rL0ZIFn0DugKaWicOx/p7yIrY5RJnDiuy
qzSjZ6wp6TynhXTiqAiPbYiCOCDFfbcNq3Quc5w7qOaRQ/P+MwIXlACcTlYZ11ZjpE6C49smEbkj
ePTVKErq4CY/AZ0fXsS6QW5gRKfKABViooI6iPsffH1PwmwhKtuVSYNd2hbKFXH62etr6noFT2eZ
j05LXpUzXbNlz6z7XLYNeJjlWcXoPQflNOOh/M4TVrs+Bb+z0OLWL+zvVDZgVsm1LKzGRSo8DnAZ
zFDL3cxPrmqsvqEwBIeFasMhUXoSSzDVaa0XkoNPU5GwdqnSzZwapnCttLqqhPGp9ivlGrE+CUhQ
zhENbvxWF7OM+ZWbemQe07Kc1z6b9xngJ3h4g0ntRnUARpioP0dmbzuys7+HofjbQlEGJh8mC9JG
nmN4QXSeJnHp+qHMXZArn3zQqym18tMgIpd+zNgsyMCmRm37dx3GMHuaoprzBr4HY/3XyPZu7doM
nTpM1xQ19qIuzU+RH39SMsVOa3A5q319njDjuzb4V4N31LGjwIVSSFXMWg801Jz1dobnmnTRSY5h
9s8bWhbecQ5fQ/QCFbeW3/SOZ0cwy0UcfYIIojix+ja8sklzWxT42OjzdaLSExnlsRNn+QPYfIV2
mPTnleZyETX6rCpl+JlSPYttL3aVfZeKebvsgi78kGTgqRjGdVmFAiIJYVzImZeAn1w3/MxgbTYD
rzxzVWxZTg/z1yf5ss3IOVVW4rLSWBpMuTmsTYcE+YXK2JeAW2tpQpQYNGbh0B4tkjh366A7g9D2
ymirs0bL08SqvvoVDQeZc12maB7m6DpD5KRBxnXXsZlt+Hc4sr8qbs0yZJ6Jxr+CyPgVeE/nvdKL
vorAdOseqhpczoCFs0jpaA4GphsV2GGq1E7IrUWZ1xeMZfOyiGKH9P0skFbjZKIFf5sbjmcYl50u
7xIpormHFYTvgwUu2s+GWlsVzMTaZgtCQ5a4XtrEiSO8RqZuWHWGMTfrjt0xv26XRVFiN/Rb7Fo8
1/lFRMiXJKPGDcTA5qxOwVOPQ5BbTpTRvHMSqydL3WWly2MwNjhJ7qJCLUrdfGma+E4VxlczKclH
s7L6K1B4xaKMi1WB0UlQkofW45fgL1+IWPizNOHSsSJwfmVRc9cIY7lI+kTcUnBRz/0kuJG+/y3E
peE2URWflX3H5nmiCbyP2blUB19TDCg2wa2UWTgTxDitavWlAtPyhhskWXiGUk4O/Dm1BN0D/grI
gMqI7Zmq8v7S0Ny4tUPSzbpONHO/zKwUVrn67AlVzahmEPlKKz4rYj2jdl0f10g3Sw+XEKpJsm7Z
pGbg1nEuHF9HEha7tI6bWKBjFdXgW+lrRQO3sNEyrGntZIZ3LyFJ4fQ2us2t7EuJ2hvfKu0TQasv
mWgyh/q9d/HCFtmh2TeD4o9KdzgnZtC4mEOP+pFmt+Mqh+5eRXWV8WZuo8uQ39rAtQWRp5B+/vWz
Nq2I4VmQ8oHIMEJD9wnolr2p4JXKWo0b1Vxxb+5Fd0W3CIx/CIH/0yOG6y+C7RBZjuOmipurHBZm
ZzAnqP+m+c3/4j0g/Aq+J7SvgwTY5kNUEEVtmDbNFSlvi+xDa1wY9cmvH7ENC3yqF4+wNx+hK/BD
EW2bK8pvkmLRJ3oOVkjKVmH3D0/ajCc/g/LiSQMnL75YHNRWYmt4maLrHZTaboBPq+S8qed1cton
/T9E2QfG/5skeHoc5CjgEFATmmhbQwrw5eO0H7Z9qVFzFRdfkIYgtH3rB2dd8uXx+/1uj+T/mq8x
NFN8MZG2Urd/xeA5PazGrsYT2U9XY/AaIAvLIXzIKWEwfX+6GrCDmIGuAmywCU4IXHp2NYZTLMA2
h/ZPFMohIe0Ll37kbuGwGsATqjTggDHoFoTxa1wNCC1sTBELnABwMmzwMhiEN+G4ulEai7d+ISoe
VJeh1PkpjwU9L9P2jKdx4VpVeWcnyawIdXScZizu10EGSuVj1XUQT+6lC6HM+KMI8tTRUfdR+/Q0
U0m2KGIlHdR3kIOMkLGUcU3B9gwWPlhUJxDoNl0/96gDoQg/cEVdpIuEgZV90/n5VxF0mWOA2+Iw
iDaGbo4VPa1boz+18rQNPLfjnTyt4mjWYc841kb53RdpD+lP01t2KINEDIrESVz59V0uOD/D0o7O
OUkhzyBv8grMizlPOnORo8GwKg1zxmoBBivpySyOJXawLSA0gcRZxEo9L3zkWhrrhdXmF9wCi7Am
mVjUcd+C7achfBmkzXHZqAuklHB1WnwtG/9Dh5p5YHYzrPC5Sf2zpteBo8O8ciQ4PWAzcLepVDVP
AWHH9ww9h4f5370ms//u+rD2FoVVBA7kXyA0Hih0LMrqGuzJGx6aaXWS24GhP0qUFseQQXHTIrCP
C6tT6Y2tTVE6QeWx2iHMo0uCmjp0LM/6HnlVczLszFlWaRTN+iS96kJ1YdP8NI2Di8LEZ1wbi0w1
p0Ziz7IewhpF6phh71oyf2hSfC21+Pr/hcdjoML8ZaDirziX6XosOyyo4oF/t3qu+4CNaxQTKJke
2veCjHghOyDiwKAYxLKeqjtAUP2QHRyaB8IPWsuBwIeiDAhu/JAdHI4chSMnoUsJnI4DkuV1dR9b
2VHYaIUhw0+G+AGFLD886aV68UvWhCHh8aWBiq++1BC+reJvqLNOYpSkTmj3riqrObMSx6zZoif+
B9EVFw1PIOTdJMVJIsH9r3zDLVmFF75lLsyM3DSyxnPOssqt/e6DqT2w4QfvAuk7yXHuxij+EFjg
Q9RGeRxHapXY4O9WiD54WIITYSS+61vtWcvrh6hChcsjWIgghed2V1sO6tJ+boLhOSsTq51BpFC7
rBKVSzvTdnWWdos0665wZ1kz7MdnVWsRB2KFXwjkfWcQwn3ITPsUSgLyGUQPcsevVeQkPnGsANLk
KRNX4HB9rr3eh1UuIaYSGI0TMw1/2qF0ez/HTpL4nsO8E+LrRccyzykgiApud3vXB/65ZulZ7uVn
AbyTk3WyBBcdXzcyAj/QT+ZRis89hG+9LtYgh6rEgb5zUPShasgrRwZ3KCXHCemk6/H8M7fAZLfN
zq9816oL6d9oHOZ/Q+birutpc6a5usyJVssYNZCeLMq/Wx/C02m0TPLGdmhlgSncgEyuiIedwOPn
gY/vSKGIU0mI1UBr+HkUVf0MW70/7wVkBvxSgCeQVdfECB6s2MuWkCVxEeQ+zjJ7pdsVJIgWNLdX
qiPZsirNZVwpf17mTZLdCRSkN7EZ59Fa+v1D0wbXPTFBPFZ5xpyoDDhflSi88GB+n5g6NY/Bzs0u
cemJS5p46rQT/8PeuTVJauPB/hOxgUAIeDwC6t7368yLonumBwQCAQIEfPqTtHfW4/U6Tvj5OPbF
693q7qoC6a/MXyYioTFWVhuyw9AvJXcLVyYFjZdrv1xxTpK6tnv4yy+2sWkocRD0Z/0Bzdk7uDqP
O96zqPj3LPb/+5CEFQu3/V8LsnBGh/+1zOFFP5c5dC3gKS9b4N7dAkAMU+wvI5IbEgw6+A/U2q1b
6aca6/4LMi0eBYXnikBJxz/8vsxt9Tufc00Q+Hi2TEz/zojkg4b7dYreRiQgRQywHDINlAK3+eMy
N7WzgUVd+Ddmpm6yztPRLrRLSelDDWTdTvveyPtheQk9jBAmp996P7oM8VKlweZClTN24aEvzoPV
Lm/c5sop3Z5Hazums5mu556ZlMY4yGo9vi9x86WA6AJr9L6i5b5ZhpPne/dd25a4PZeRxxiJMJ94
l6aGyZs74ZOpYp2ouB7gD4mnVZcvAcxvDhdxTthc3wS5fwNhKYs7fQpVd6ygGxzXSfTJWHkRNJV5
D1Au86L2B8a0+9HmwanJxR7uxHskFx6b9XnGYMcrr/a4D6OZM1o3qd+KxJ2xUIdt8WzJ+LWaof8V
VXHwRt3w1oRYugoQC8M0NIls/euq7k6qoj63ff+jmwoCfUsPyaqiG1n3bWLz7qYMpvY01wNMHSny
NKx1Bd+qz5PYzcW1YdpNARFAkevo+iPypup6ouG3VeLDbUVd3HmwjHhh+o8Co9BVqdUxiB1YNl67
7IvGRDdGznUWhhbf2lhQ3udDnlQ15LgybwrIcITt5YQthfVw3Ogc5ndu7pP92pY573KpeN34OQcg
orms/TxzF1UefH9WmSOlty+LDf1aATKxGUajqzX8SkGgYS5Y6aiRO+q2Yketr7K+Hrz9oP06a/zy
gnHuvA7lTdWQ47Dkayrr6IdYS8YhHNHMMdJPl3EpMyLCZV+NucrcsoBKTcmC+bGL90PJsM/M/biP
Pdh9dd6D5YJRfo/VMNqPbVBkKK4qD64LbX2alM+N7zt3CoXjvF7xTruZQepkLttFuTPAfLARX3Te
Zg7sd/hplTwFxth97hWPi2dux9FtsgKaJNdD+64VNB5ZMCAfXUxPbYxdIicbsrhuH5H0mq/WBOVT
A9aAmyJuDssIPtObc82VaMhNEBXw09tVwHML8Rn3zniILNbswlILImKU36tahphJQwHBtnYO7lDu
xkBlQjQxQCWARnUMRR10CtRyWo7cKW2U9m2tEjaV7G4l8105j/fM1lVmvJLIRHnqGrTScICh/WNo
1veBTMVuaMnIVaz6KwlzMvFnlqq+Y0e2WHFhTjjtI9HQe88Zn2WsByd1h3EW+8KbCeFybL9Z/FXh
6lSw90vFTVR0e0cuj8SxZDcXOUvcKT41tccyaxfC42nEqcUsMBfWFXBOnsmmcU4OdQ/S958mUw4J
zkuPdVeewrK5tRBMHSe8MsFXEXrnUbPpdanUh2XDZaaOwxtsk2lkR3sZQaYc4ngouewxkeSVe/Hw
24q2OE8T/dEB5EjIqq5c6xI+xeHzGoHDk+UaYaqov5sQcB7YnaMulzvwzpcxkADHisnfZEO9rySB
Tj4VQToveoa8F4Zga+tjYzCthcYPdhBicSDs6pvRyR/ULL66evzSUiwPkdtOaVj1Z2nJ21wxlpkK
xsVkdL4jI8GZzQe8SKHOlwZy7Epqrsx0ZSL7MiLnn4YOvY3nMOK6DptjFAT4fw4Q08dKTUk76PNY
ugd4vk0yUbErXd3dyHhYODwllztznA5z/2EgjPNggmJdeOwLjkl1kOlmvmq84Zum4bEZg1dYvcFR
1oSX/foOQA0Ylp4PeNNqV3gQ8GqyQhYPr4sSq0ysHe71NqliR/NJE7hf7ABbLy09CZhP2jsA1xfl
GcinUr0PUXwIG/+a5O3eod0+B36F7zSZFcF/D96KSMrEyPGHkSG0HDtkk16OQ02LbAxV4tDqDsiM
g71gTJS/nItB3dWxkxJZPCowwAVrDuGomnSs5aOSQwJeoeeNMCGvl/UggARKWEqumYFke3DJ3A8x
NgvHPuYsexN5JrqVdQXVnjX3roRX8s8Z8PMMuDWH/fVstNV+fj7T+M/HwM/KsX8fA7cyGpjBDGMO
2qPpNun8Mh8hTQvpCP3CeOrpdkL8eQxEuxkgGwQA0H3ymyX9n2MgCikxVcEAJhh2IKqyvzMf/Yle
R34AVTlAkdFVHqIv7Y/TkRnt2NVYE29cfdvnNFvKMP3lQ/kfqjne3x9VTBj1Ie5lFCSHGOzof6mY
zIaVP4bjeGNoeZLhs+PexMGdoQcibu10bchvVyNYif/tvyNz/P/4jdtf9ItM681RL0GoQRRrR4dH
OPzFfDHaq7nOtbmzvY5O0xC016wKBDdsx8qlyzoxiyAbwMpmGCTY1xkNY0fmQzFaupamxGif+1Fx
CbR6biKvStre/T451Y94dl6bFQEMIAbASGFmlXm/JM2iAgxbRZT1yqmxl8v8QCu2Nwu8GTyRzd/l
rdR7scyYrSCVgToafYCCmC1xEH5wbJS0o7yPpukMCAJusZwuTifwLYE1rnE25FhJUrrgdMvsnRAK
7LHjH7Qmt1Phcy9ix8YdJa/K/KxjggOg89Q7JOdT83VawfmEBUi71WQEp0c50D1toxNssZkXTNud
A+RxD7LtSo/h+hB+ylL9p0SlN7WKQbYqN/2q+5SyVtjXbTLW/axvVE4vA8It1029YgAzw5rWo9+9
V250YcxeObS+tKE8zpW96mNx7bjV9bKyF6JiDIWOE3MoJLvek9+QqfmuHB1kNqBXc0vh0fvpVLWX
QdhsHJfj4stbd+1gAnepnJeLBQU0RrAth7WGShnYs5ncl270Mkp1jsFvfQoURkNRL9W1HJvbphr2
Y2Svq7U6uboK+dzCw6yG3vJujhpupsrldFGZKcOnblh6XjpuvvPqdjyOox32Cm7hXSS75aIQ9thh
sT2r+nvs2BtaRPdm7AknhRogI/RgNuuTUPJ2bJwHOzVwdPC1aMydkYx5WA/fw2KEr8DKOy+3WTzW
EENnkkIATim2bhgdBTftlDBL97afdi4V6cAi7F1uqrV+WBt6W4uuSyzOJRx88HQ/L8U9E+TYY/oC
6vtKqyaZw6B/bF3HT0rZ/2igPdQi3vu24esqFKcuTUg1fbg2PzcjSzGdlglWsCPYSpb4gEQYFBEi
8ttCTlc0KKFc1vvZDTIVAjedxRnm1aEPJm7WIQ2Mcw2hPvWsc8RCcbdE+cCFBLLiY0PvYv+Z9ibx
cIckXdVY3gRqOVSYvY69anatzEcECpxTZdZH09qCQzS5lr0GWOemZTnhshZlnIyR9xaP5VsZRle6
UyWfSyCI1vQLF8bWSSCm6PDPpve56XnYhf560/t8ouefN7ztRT8FAYQWgT95MZ5nBd4La9MvGx7s
FOwCPp5V5zM8IAUr909BgOBFyJGEnwm5T6PlJ51F/gX487OCP8aWCKvlb+13f5ID4MnAfomx7eJn
wa/94+bQ6Q7kb4FQVTeWAbCiyiJKFoQ3xJNFDznQEc6aVa22GLFgbLtxiqkNN9oC1rffRW5NhgfL
SB7/sJE59E7ji7e2qksXx4BGOWe8aSNOBHMkyfLVcfJb3HMQqXDKK3DvktGbR4D8wQp+HegSeGoe
NuE2MwM5xGg3+DFOY/2CVRezquyKA066YKUUuFXuz0iFHToodMDlgXtw1lnV3+RUjR0W+MWGWR65
mvEqYqm7DqPzEWBe3v9z6f+m+eNi+etL///Ub991/+drf5uZfl773qewj2fhRhTsX4DZ7PdhDzoZ
FCgwiNs1/KtdGGHWi120MWyVGhCrMCH9LvnjATIBapTobzpZ+HeufQz6f5iMNi0MPKILQWxT5SJE
j/948es2WKtgEebGVf5jpc2DZ4JzTc1dNUOeshMtTrmLYzihh3JZyrSuKrETE7PJMI+Cu13b8XDB
XoIEwb1LcdAt2pBwSweG1Z7cDS6gGxrjZzWhLjIFmucY573H20I99CGovbXRESd6vnI6kHp1U0I0
WicnceZApMiBlJmaPAd6nO2u3aZ+xMNNg6twWptL6Xmg+pjXwW+D3OypcE8NrL5o0jZhBYSHtW8e
iyaCD+jUwN16c+zaYCeiIcepFDGDkNYfCKM9I8jjcOUFB+07D85aES46c7VuzP4a5O9YO0reBeOS
9NpmTX8syYXk/vepeOv9ZIhzzFgQtuw0Ipi3jhjccG5PGzVXqbeaNmuX8s2usDywYHwfB3siQ2t5
7OIN9ZM4mh70khO2fGkyZ72MAznNNPoalOyo3ZLyeMG5GOvkpc97HNvmmdMJw56eyU3FesVzd8xI
5OIr8UPDhzw3x7CnLkc85x5zA72LneLb7DV3polA5ytfJZIUZOd12uMmnMjOZ7B1WgFmUVV9mYrK
Et5jOMMKeFxGSXkAZK+Mmvu5MpDf15FknY88YWRgHLMYQS8Guj/Lu2F6yAcXh2ASv+SOLrmW7b5z
y5Opwkcar2/EyZs9Zi0+wAIopyJOtVeAoEPAh7e0PVh38hI2dCef4L2sfbeP/bpMKkEa97alQ/MQ
iQ6/uN/QI32z0h7Yj9VHb3I2Cuwt1lLzHuM6WD3yCuz1qoe2mDpQjlJp/Y/Zjh9TuCw7M4D06kwk
DsgMvde4RSGvekVSwV3eSTs+BF5uznXknqay/NKu8XntCHxTXey1dS7dsrTcuJG7G3JBuK6E5b0x
10O54vaZHotcvHcFKNXGR0qrdOoHsfoFn73xpfPDY9UN+SEK9AnurYIlxOpdBFaP5cFTX7gFDiMN
luxyfcDPtJduCiaENrTOhpz1yWdAZ+qRtCLx9uXN/pK4TLCUCPpidNkn0zqO3JimORlvnJPZgYBT
LBJ7hlEQZ2ejX3NX5IcGQ+htyQIIbT7Iw2Yhu2isnyNvLUFdFchElJD1PC3xBbVNJlQ5Ip9RSdzt
g3c0EuOnLlmR9t54dNfIPXZRcQyJUHuGv4V3zF84lsUBAC6CX+Wwct01Bzp0h9JhaalXsHjlACZA
OQR3Gh0S5HdmvtAiTOPcpAMlSGDhHyCa3JZ5zLWZnshcnoN+PGkfqBvtH6ZwGvlq6n3hiIo3tVh5
U5HraR6fJJgzrpbitqbjXZXb56iar0y9vhqBmEiF/DivdfmMjOWJzu5hMeZxiDDud2Pjcui8Po/V
fKkMWD2317t6iQxkoPlKgMGrcJzLZkuy0GtP3jg2OFGOP2ggvsqc3CDICq6pve3KEH7lZN6FwDlq
rNZXVUBDpV0UZQgZfTV1CCV7EWAJvPZRF/Q8O63OJoWrBkHrpXr2MZUcJGWNv0dBopcVGhHBQOrf
DuX/2Flb3c1fb+EJZODPjlo8dOB/bOR47X82cnSpbA3SkFiA4AGw+WUjR7E8elh+bsmboPNTtYkg
zcAEiwM46+h12IoNf+7kEHQI9Esc1n7b5f9WxgBZ8T/t5FtoPd6sLZhnjOLv+1XjiOtwjRssFDdq
kojXJn2n3ZOaCT01MJAQO2D101Lm2PRm5xI1ODeXQT2B7GVp0TguBx7+OOfDuYrmh8mdL4vAptcW
LOZI3iBCJVckU4dnWy/XYe0fA8m4DyuYd5vfPM8n1oIenwEByBXCQw3fwArcsSKM533v+z98nPNw
ANv4E1ktCWI6XtZXTsfXiO7GsowSqiC7xqb4sjDcD0bRJYOyW6du3z5ShhWNjg5AWljPPsbwZLED
mM5uSvpGvAAMTQePYYc2Biy+fWdjxUvR1WlAwm+4CyWIXfnKkILjEKeOPvjzsYPxgKznK8vpPgrb
NRHW3xVRj7Ha1AePTUE66ehgZjBTC516RCTn90WL93qYIY8VHQDb4Yt0Y5nUtNoDbDzC7mh2ZLY9
mhwgFUd5+z13KYR00ry2OkBIYVPZxTh8MOGt16Za3mQbiDMUeITNAyhSMBIyp4nIvWfCPqWIKidy
C7VpM8d7a6szCbrpSxRPyC6MqA7ZITKfrDSUGRWh3qnFB1OM5HIWFYXL83iF0+815mpxozmt0DKx
i7App0I5SzLAiMW2VRUwuhCnXlwpssY18ixdrfZRbIcHL5jWZwxkRapdRBAro9wrbFegP2xVfdE9
lk7YA+x1MnV9b3rS3RbMk8eI9POliwXUmUVpJEu6Hs4NpeVF2KbdErLQZfpVeRy6jHifI+lEiHQ5
3bHx3LsK8lRWFLZ9chd88HuBXpCvThnnP2ikxqzeGCs7LGNWAbtaakyAZiOxpo3JMj2yp4C0hmXF
p26zDvCWAcSFmHCcON143W98l9hIr9CdsCZv9Fe4cWAUQBjdyLAOUlH5yYoBGkO0OufVxpE1G1HG
NrZspRUBfA7eLNzIM/0JoUGiC3+j0sCn6Y1Ug6E3PccIaB+ZVpBuNqLNicC2GUBu80a7Ib+bzhv/
9s95zHURtdikg79ezB9HfIz1/6Kwttf9XMihRoAzAECNIpPPo9cvCzketoz4GHrSPMoAT2K1/n0h
Ry8tcr7E+y1hhp3h94Wc4fgG2Rzi+9bM87cWchbgJ/2XPI5ac4YqRTxaDGDoJ77wi1hNpqCvHV3X
N2tQYAwmmPZRGjNXuOwahHSmgFGsbOqKIi+6w5Z1cGGryXa4KUbn2Cig+ta7a4iTjD45WdO+VSP9
IoxKqgYZ1JVc8pge1gJqRuVoRL/C/AsU6LtJiCoDHfoWu4wltADUKMC3JyswonO94E5VCJtikhua
F+0X5xGU9QU54duoQIIi1rGLsC/Ir7h6R0PQzhfktoD22/ZY9BDlfLVkYlw37CYKOhTxjJBWK2Ll
zcj0d6ZxVAjmArNpESKDNFXkGCxgLobw6Iv60V/mj4WuV4bG70qYR7tMOi1VvtdsPDPAD1xP7CbQ
4UnBZ+VxETz5Dlov9PDVFmxnJrRZ9AR7jY2jW5AZUGT1DQTB69KWu9YhKOwIrMQ9j2Mg6Z2XGOgC
1yus9qC8FD3I0LVFTCWuhiPkyI7XyFXssDXWOyxKX1HpcBtM44WOkb5uuzswb7u6ktkSkhuge7vR
n++XzVHdOkH8nrz5BGu6cl7hYL6gCGqHvQ0b32SDg6/qd7mMT63j+mmNKAvHtHu9TPjoumq8c2cB
Yq1i9XNH4VubaOBDBKvd78LpGhntnbACfnmA4/kyTg/I8WT4Z7mTzKh06JrnEX+G6HBKr6SDY6TV
+0C6+Gwikmh3OXcTvgcUYIS8dCOFKT9y+bL49zLSZ2vFd0j6sJwZe6Sa3Tte6CfOwC5xDeBtDMIC
Z/9OwZIu7p1AHINyoPBGsCTPXfkIb/1b5EqElOu7uqi+l03/nMfY8AFL2yTHmzqgPsgmsYNaJKHn
PAk9DwkbUO5oSkqUlhXE3zFdY+RG1mrv0ulQeSAu0D60ZJ4ZPzBrtSllGAjcsH3Vus5i0m5kIT7t
DWBOcr1CTp4JlGbTA/aNIFSscLg5+oDaq3Xpn7q1uhftiFHELXucXXEqkTP6NeqxATrQ67MLcf5C
apAskXmVLLzA47pvJo3mCRnXiUPWdQ8JA9ig6O0uRqELmrO8r23TPUQTvvjA5ukSrNfuKL6LyUEz
xRTcx20EREccrA/OgQhxDDfoL8BFzwGi7+Y1UlsPDWJ8eYVjr4UVAaxvSpx1ecv91SSQ1HPkiPBq
0NOnYQK6UDGUQEBSIKqWNzFz93L16myp7p0S9gPOZlO+viEc/jZMyBDM02OlSDrO0W3lwciy+UoT
JOIwrkjneYkQKhxUmBXrsCuWiZ2kRLS/JUOAr31Cl4WzvOF7XU4If2W6bSnURsyXnkM/vNlcKde5
mkH2ZTKCwuEu65te5WFphyDRKPDA14UsIpTKkC89cG+vsw91aHXSmYEgEJTHCZBV/D0TDG874grE
v//hqRnMOmBEXlGMcZFy7rvR/TA1LgnKannSYfjU9t21QUiDe4R+tK17Ezp2Z8qZccdTdCMKvR0j
5a5w1/4iiLufG4pvG5/4uWvwpqsGVxOqQr7QWumddrAGo7cE4a8JoUoUrx0EZfNBk+WtY3DuYiyN
tJK7zh+dpCjoFeaRG6MArsDqjdJFgoUta8tzqm874+7Lnj62K9ZKTR5I3nmJXqMe587wLc/bE5Dw
k4c3l1rpMo5M0ZPDVpKIUnbQ0YCA9wEu6sqILxNbv/RDd18Ymh9y5SAmSDAlYYFDfc340EakTntM
LDD8dBr54BhsKBqe1/172SssFS3gD/Tw9Os+74qae9Q8LsI+V97w0nebfFaNL1Bv3APxLElBEBbn
1ZRTKtEZgeImxN903i1cIabXm/KhYT7gqlFDSCJfbDW7OEaXqOyARh3FFYCzlqECx3ue2J01p1W8
WnmmhX/XlKhGCNgz5JIniYQZI82wZ42+9loNDlgRc0Az0AfBQo9+gfgWjTS4takjDqikUzxEqwgs
Jwkkn9IUma+LadX9FHuQeBSWX7lk60IemoCdC428Dqykl3DYeNJuOHXD9cQWhIxhkOYhNHo4icg6
x3LvdT3srl6+kGXdK9WXl8bB8r86/VW8hM5uWsYKBUAzpEycHuHHRfi2BCoR2vwUxJGDXOVGn5JP
EnUZfQ8Imv6INkzVNjjCIEJdB+FLuUGs/SAB1gwdUnzkE3I1+J5DeKGHPBoyKUUC1c+cxLDGN8Tv
9Y27OuA9zECPU1hcq0+adqTLsl9nhA6LNuoybB7lLu7yXR2QK68NjliNTkzg0oFkDV3VWVOnp/6z
DFusEFOXc2qcQ9HRa0rNphG5H/4CgGSBELpA/luK+bC4TlpHYepVLt46/kbjE51Ws/o2y6rhoBX3
nlt6kDAA1jU5ey3mekKaYygz2xVZB++coxBpxyYHoZOQnXN82O374J4IFfeVCA+OYz34euGN384i
kWNNkkq5T/j4sYsT9dHO5QnVWOGu7ea73rB9idqJFPxos2tmt0qW3m1TCWgfmJJ9bUAFgb55COiS
MhU81XF3uyAGw9laHS1lu16q2wn3CUfMbgd59hG2/TcsrrdDbJtEFbgEJOvuEbPfYYEje8RxsWUT
1OEVntwwpkPDBo/HZX0TxjAZK1GMGbKjS9bPkMKx7qu0YGsBwNRk9aygdjIKtE57b6vxIFJZuw9l
icU5YtcYcl/7HkVpoQoTXTsZkXMS2OgLtpbdZL176Jpn3LmH0NvEKls8tZCZYd6qK0uw1VbAf8QA
pVe/BC15tQIFO0ETvhhvvtIzAtpWxg5ESeRO4yB/xhGmSYijjqs89bS/mvN81yIVn44yuisCHKyY
w57Gdrpa54K7jXxXNDh1FTL5xl8u0xyNB7SiDFkzs6uaRE3CaiyETrF3oRKkXUAPlfYu1l0ROPZ9
uPBrnzD4+6Wt61tfuGuaIyy61Rt56VTQlU9jDBcAUQoe1A20AlQ5ZtHaHwz1kDt2y/fQYoaJ5vE2
bA10MbQm7vPYmEvdgbPofHtWMH6xKIl9pYSzj2tbYuZE6B/OnopW+sgG58RkWO9ZoY8xpq2Wq9YH
mLlOMZP8n+PY53GMQoT66+PY78/W+rOytr3y54EMvHgQERL4m3LlfR54fuGhIPSj8/T37MvPAxma
cjH9IJz3b4P4F2Vte1g3nkqA+Q2NGORv8lAI4fzhQIafFOE4hn2H+dBZtj/lv5Q14WiWR1F708xS
78jCIO54ykvV3LzI3o8yrwTUgZbAKlFVqCBkD8cuID8m7WJjrGt7siibAzhdlengjodc51mAzyPF
Ao75sBkBvIL8LcPy3QoMpgSpDjA5NeT6YWqysA4i7rRLfFt09VPQY0ToLIR1hLsvC+p98nzQiStf
ROk/1rVsbiDAO9s+YRHoCEEzzwSxelW8CJpXqAOL76IKU/U8eh9YzsZd7jn2seniA3i1c9nOy86d
YUSZ+b4j9mbWrToqp7ueMF7mYBkD15TJFMyXOuwfChP0sKY1oFW40/ng7ys3LhKRm2+LJJD783zK
QozW6CsT+1x2D0ht7IqZBhzSPbSaXh4nFX4lBF2LKFC4nvIOCZ41R1FPB4Vurg+FliSdqxGNfX2V
xsF6L0AgHwKH4KMZ5XRWckVeJ8iv41aeUHkBKFOpbB2c72WpYi67LuS5lnu74ojXCTCqzoTaBFLA
5h9XVJKp6NbPG7QADAR1SGXLh8G/L9vwXpvvXqR/hPhxI9x+/Ci0jxTEvBUj6u+MwGpCwwE+hr/N
NLBKfOah3WBC7Z+iMsFueYh0fI+qE8x7Nbnq5nJGkyhpMxlokwLo8/Yr+hfpijW5muI0coKntlni
UzeVhyocZMo6ce1uiE8kKlStqbPRwy3K+9JBgT23zU7PsLdIIF9iaui+AaOWiK2MI1YIPsvwaumW
V0/XO9ogy22X9lj70/1k0P1GVvuB34zSKl/BE+vITaNrwLlkuS3nyOeiKq7i0RGXye/fSS9Cjs4r
7yg3FK5w6jDrkLIKsqWBPeKuu2BD5/pyaq/zyQlP7QbWwWiCohl+8nZ+2zk8YNF3UEf2NCGDFYkQ
NQzzYfDFbgl8m/qi/xJTWyC5BZeoavErDDbKsUIcE+0rY4CPOMKa7tTF+uS3GtKIt1ioweFD1LEz
Gt8+VNFVKamCeyWK/MxQ6bXWqA4ubIrWzSarGHaXxhTfy7WNj4MOv8/hhqVHK2aHKTYQ9czdgBYW
3IhXAnxaGva2xVmiT0CpOxu5jAJeHI5EHo0cAQC8Yp40b2y+7EoifqhW3CqwGimtUTo8FaNO2Ei9
VKzq3HmNm60u6w454lUOASctmpMtPZNK4X0pW8TNQHwMlwJdJ1e+7YMPYP3Vo3ZhjKopQuUeUQVC
Cv/sTp+700bP/vXuhKLut+mjfzN/3py2F/5ncwK/sVWtI57tQ/iiv9o+LgilAObNJ3QbbHHJn5tT
9C+UQSDKxCAHYlsL8T/9rhZGW+4IVhCqcrcw+N8CODZJ8he1cNuc/C0xhd/kolUV9s8fN6cmBw6K
awMnAVflhxZ3R5FDPegxA43htCR29MwFa73e+y7KRWLMTE1JkWdp6vd+G6eMYw6wSIMs9jE75Zb5
6K4ougRJGvBGmMLTYhvOwo7hmrVzfdvl8UuxjXBwIPxkxlSHRsZLjykPix3yMZj7uqV9ERCmkrWL
rtZtNAx1NR1GNZzyGgN8hflxxQkIG0p4xTz6lG9T5oBxMwYcnDa9BDjSv6EIoUHxXf481UHLLQqS
UQn6uVSuVwzz7LwNtjhzvcaYdNkMLBaTrw3VoxPUV0Nk2wQlgU9NL5AMICh7FfYcrvS+wRRNcueL
h6k6x7kIjEqYGMzbbahfMXRc+/+XvfPYbhtbu+2r/C+AGhsZ6BKMIiWKylIHQ7Zl5AxshKe/c9un
qmzXqXNH9avhli0rkfjSWnPFRbqK7WknJ+7HvCje+5zLb6nads1lDlONPE75nArOLmEOm3njeeXA
qCXRFzIDtOPEvSBCfKvGA0QHN2POlTpaRn3HzWibMktMmWSuzPQy0IyFNtj5bDB3ZMO8HdUgQkm6
nZhM5rg4JIAjuaR1t87gPsZNGAGHml+cBI9pMrL1QtxD71HSnZgJj6TScPGnLZd2Kt0tYtOriYEp
XmgovN54dOJWB5RohIFT+edUusZNzsA1edF9c2PFBwcBiwDy48xcDYnZ3CYuTzhgVJukX1KYRL3c
tYP3EjscRoYGpBHLuR0GYfYlRfU5cx12s2qsNhp9mzMkzgL3Wz/vEwohTtn0U9uaH2DMPrDPsa9g
0IzAJU5q8pyFLDYp1fPJtDPIsLPHvZJRtWJkZa15yBlh7SHetl6E+gE87WZWc64ROfPO+2YoLe2h
34xSuyT1+MVfsrENbAF2QCAlWRpGLhdxiaWxbGl4qvqOkjAYIfIkz/XWluXtDaVQqdrpHXDqA3ew
NZetjVCIA166vI58tt/SDGKldUEJ2zDlRdMmcwfWUcAB8d2gjulz1lSmnd/5EgC8ESIUR0pT+s4p
lJ3O/hiVTR6lvC9c7lkeqqitqdQ4NMhiqymFjoDAeJwR7YSId0yl4umR83hK16Ng34e643uJQY+w
BkSUYSEjicRyrireKanSCJlxfRsiGooLIda10hE5CIpyinePwKirLixJ6lWL9sjzivAwOdXNpCTj
En2Sb1RfrC5HIINyqbCKeuNmXbbWJi1bU6UQhtlK1tXY0TpetB36k3R5M5Qiqj2l6aFDJZVUDZNY
yMtAFuH7rKRUxtxch0pcVaKyQry9L+nB0NLHT1qUfWQDbxmjpDeu0Wh1Pm5yJdry4XmDkcwfwGp/
9ZWyK5p43ZlK7FWV0caCpER3jJKE1rE8acZkX+vIxLSkaG4mSc0EJJ1uXH8J15PSlQ1hWAVRi9Ys
HuW1bDNvhZsqxRmW3Mctr2bbipBH52nMQZXfOPBaEPDzcqlC1lb6YtLqF3IJagRvJldN7Hi8seKl
AR2mdHGQGEJ2Qn26rpre2nODxUMZX2Wwnrk1NpfCMo85QjsRiodQ6Th0Q16FStkBhWpKWEC0bcpF
XW9fMt/u4Ap1pZMG3ZBycpEpTjJpFgYSpbAE5JF0nIKj2Dr92xN86wlMKvHf9wT3759bGDBlX/21
KVAf+UdToJSbgBdANrg29fdnUadHxULT/P1vfmoK8DyT62GAm0YQ+qMWxKPJ8MBTMuai5uXq90+a
AmLtf20KXBcqhAJKCMsCsaSahh9OiDDzym6pJqa33BOBNST11pRxulH4uMKd+m2nZaiQJtuSr2yk
j7XSFjjCc9VjHswAnO51qDQIkRIjePAeirl0oQ4kwKb75d1W2gUI5XgTm27jpiCP6zy8Z+3tXJeS
KjlL2GQ1j/QbiFa4Z+KnPh43I7ujbeJ7V5hkr6xW/5pN89MYF1eulZ2bvKWOGXs/iVO1R4uVF7dm
lsOgssxmvp6E1QXwheOVZTsfqWs9jo72lkntY5RxQy89F1CtOZowxnxpipmrvdBueiGZj0Bcr8YM
QwPbnU9zbKlB0lHTHogFOTBnDXP1FBfVxXCiDWT5jKEF7mQz9BJy2W6IrqPk4NTmXdM518hePhZ2
3nN56+gQZM02u+HRvoW+91w0DE5G+Dku7QdpI2MR6dc5stQq0rgA5Z9X3rAInK7dY6WxMJyHHpdM
HudA6vNphf2hWbfOfF9Evb3u3dHad55IA5MN5AZOjLtaKpq3gtma+TP1N9zf8JojJsxi6gGBAbth
0NI7W2c/McGNX6Uz9iM9seXarjTzum0y1pXVyLzpgctkic2UO+Hx0CqxG6bugIA/Wbdmj6lZCc+G
bxq0ElN6dG10S/GcdjZ+nLxoan58PAYnE0CvnBJ0sbb3FfLmforlOe5ZhphF17vXfQgr+60FCf6F
I4qrrX1sPQja9HBrdzDTXEEb1i3wOiJjxuDBUfK6WIzk0Ru9J/bh054++i3D4g3uok7OI0zxtVYP
7daYvQe/HA9mYe/qNhx2OR6vfavrj9qAPXsQo7mZwqXcSTjbd5QxpMrsWs9d6a8bwc/SxHg6gSd6
4BXgBthXyfZo8ukWHjpM0mGsAVjKT50hnKObGdhs0vij1uMJuc0sqPv6jeZVYb8S6PcLzdYD1++H
fTuE7d5onfy+cZr8LCu3fMiMuV/X2DdxrSLz8/p13zsaeBXqVgTYbnLKDOOKhkzLHKpVX83nsYd7
odFgBgVymI2dGLA9oGJv5yR0rvpZvE9hHTQxosbZglMJtY91C3qSiBULDmxLO+CcGt+ydOTqSXni
WtOXu6muss+ZadP0E1GwokG/ykY2+mhn8KX1/mKt26UOV4hC2ws5B+Epjkzv2pMzTn3UQr7SDblK
QZQqLdGkVEW90hdpHkqjTscdlSn10b/16Fs9MuB3/X09uvmQ738FkoEC5KP+qEUMqMo+wPjHGRRh
4g9yFp0dKVoSKBcqHUqBLn4fUCERGQ4VjAQqBYHXfxhQff4/G0cMCiVUjtgS/gH62PwW0PMnso75
FOYZykefUCnGZ76Kn0tRSO0x7TCZz0l5a85uH0BzgOjd+4/TYowrMSPe8o3y5C35HS/kTzNa4MDl
wLYaY2gGc9JBX+99BOT+Gd5IhZjZ+eSDaM0H/2lZmkdsal+HIdo2GqiAxHdf85q20escLPAjtH2j
OFWjOQYylP4qW8ybUTRxkDtC6ZOzJydyFg6wTsHlvQkMA79bZdgvWe4+RfPyCTVCGYSZvx+b4TFL
+tvWt25IH9J3wgcumE2PFVqFm1D2VzxUOWNr3VH3Uhj7pdwWU8X3vKCcZ63m4Q/04i3azXCV2lyp
Yu15qJPA54puG/5NTojJAkV/XbqgEMISG+yCr4Jr77bxcm/NhXGlW/oXTpJnzAsOz41mvl/gFScy
NAO97pi2mUbt1ISW6dDbR6WWbnzNfi2WzNg4Y+hupkTkV7x7eQCOOrJq+AaTC93TG+U6JzBnTZjQ
yhtBpJv6cO/MSJGX1n7i3tRkQZS01r3vDso9C0UI8MDkdN3yqI/jwkoYXU+8toHBKZtHL9sbogRS
B3RZlFvrsFqKVSOTk+fITdbNO5FPwE2ks4EUBOEiijAMWjJwlxDdka0/Wi5Lz8LlbJ/aKAg6gr76
5Q3hXbxyOl44cTg8kuHxluQfbcg1yqLW2VaHXWE4Tq2b8rAu95UhtE2c1UCiXHnti6oIstk8Iox8
ni3nqqjZ5xY213s0lY9W0d1FhXWno5EZ6/GAL2uHZCfcJzbzm5aEexaHjA6NeeTiC99Bq93DrNFw
LIX3pMnWw3ylbUff2IlEMlXgRPDC8bD4dsZRn+HBisq1L6FwSEJykgSii3CX29IIt+bAyKOhMWzb
4WnJ8+fcNr5CsCvYJjQvwqtOZZg9zm78ytH+dooBok69t89KpOxtCY6rivfhlLpBbkEemfqrghSh
wEiXFwkbodSb935ONszcRz9NwAjUr06CVzg0R2RhouTS0OYPg9U+stCXbFzpJYSbHbMJcubCmbB3
XxvyP1bt4Fy3bMaX2NoJM+Qkrk07NJpBMQxvthfd0XJsXb08424/T7XweY8txin1WH40TnlaMpax
ZrTNyi9ZBipMchDuxnBXJaMSCVioKu35NnHstcd8RK4BCqje7V6WoZuC0DHeAa+UDPRZHwgwgnqO
npmdy4OzIOWfqpya3roPZRkdvUa8Ll58jZD+YgKy1QV3ab/xv4SF2Be+x8vIbQ5yKHgBhg95ukyb
MDU+7FT1alJ/4GX8wgKePU9Y3fSJc+l8k33C3G7Yid1WIdqKotPVItgABx2W9ip3Yp9hk1OQzSH8
ds78uwypFsaLujmEMhabAojgtnT8T1PYk+7V3IZ6OwQM6eG6G0UYFHPjb9rUPtZeZ92S4LDT5ipm
BSCb9L4u9c/hzKUBsg9IoOpkLtEnvdRBJw4zQBpf2/SZcRMDCUWDQGzGnHvlFsnaRwWABK5EnCEC
gQVd9I0PTRxGuuO7GDBsUNeh1Z4W3T32hn6VDOCE4/6ujaRkEWQenMW6mQbtWBV8lwn3lbpnqrUX
zVrP5NulcTFww7f+NSR8DzwQTGt/X/LJ5xq697+On+qj/ij5BPb6NOKEM5ILp6bFPz2Fxm/Y+JjU
CC2wvtFEfyj5lo7/lgBnyLHiJysCiEHVO7iMst8Mh/9IwQok4q/j5/dxFgErnhRP/f0P4+eE8J/s
m9A6Z0vtzgdQ5oX5CQRBH54NDONFATBLM/bcf2CdDPH9bEVIxihZbC4HnAghF3hgxNlm8HtrDVBc
7MXI8dSbTAhXsnpHiRNxDkrel6ab1oVJDiISEFSdEbE2YXqbNoSJRCEPr6JD6uYRaOLNyJcSn2kJ
hGBI5lfGU14r5CZueyXNAIZewprW3eRZ6s4lMcudkxctd9R1KRdiCKAhSlHQ3abVZcFKVDnVgR0c
74i8IqupR4LnE7GC/HF599P24jiNIN3CQOqUG7eG6PPrwVqqLSlGJVKEvCJArPlqhtH7kEIsLDR3
088f7I1tFIKodjQzWudFeT0Z1nNdRrjNWGgDTyA2juV+HWRMIiuzYte/eH4b6HI6mkuSbox2+Ri8
cDtU8qj74053QZrW1a4zu00LCAFCkoRGROVrpfnRg4fJRixTyHehnZ1K8DGLPbpQHENKN/2aBDHj
KdZMntf7AvjMVKUPOTCavi8vEC+OMZAaYlMI37GLi+RXOiiOjZiSttz1GgOL59RXul18onziPHTD
k5D+iSisEsdHWDpX3Evaiz7B0HpD1BIZm86sovKiLf1c7wqd0T0SmXiBouqj1ZTZZ8M2AS61I/k0
w2cMI1swI1Ewevx1MowfbGW7IGWlsSok18U5vrHK0NtwvJi3TR9/HTW6ktSbX5GAP/TLdNGl/kZg
IryH5TWR0AMcuzM3bmR9SYzpahTR/KbuiiuIukQUmtwklKDYFtjY7PZCTtDebT3tRMl9mBO+LdC3
eFIj7xxOKPQQf2ELs9dD3AMlyhx/0zuz2C/uVz2tLFKv+ifZE3lU1NwJcyK4ssg3d7aGGIc4nqlG
KNAyagVaFX+OsmYJeN4vW2/EKJvO0c7QutdkrFAhhk5QeiWi0ZmjqdstuAXBWerE+0yjFeKZ1G7n
UHtpUVmxytBhF6WPrCgiAswMF7coXj0SEQns2eduxranr65KFpCrmHi1ofFsMCDZ1y7uz3VhvcsO
aFaOTzCb0xvck8dagVG4KBzB4bsrdmAySLGttDE1lHZw3DUTOT99zP7U8PP3MvNeF/j7RW4fRBe9
mplZ0806XFhijxREw350tfh+wvor/PGlia3kUMf+YZmaI8fX+hhW3YtD/8okc685DkkQ3lnzu0ss
nI/aWm6KokV2xGtzcWjBa70c1ujF7iRSoYz0qWhIdm0a+5ts8kskF5Pz1snuEBvpcBd6ku1TmdPA
j0en77J/p9nvpU2lfv59abtX6Mj2r6VNfdQPpY0qpRumbRLa8w2U/YcWCCCERfHiBvu7Ae/PaZYJ
VocvoewSjhL8/HFuxUpPoioYXnz03y+x/2CcZXr+a2ljztZtA7g2SB7xixZIGiDEGs2fz7bjd1uh
5SW3FwEwNjMxJh/Z1U02c46taSBGyvp6xEks2E/ZHvWma7nwJ7GwT1M5NYAJEf4NtLFY/fFszWa3
NfTevwG2U+3ZndYXw8KH4JCMggEjsnddWr34C/AVzRafy4ZTEGljlyKBpwhnOmcrJlGxRO4ZxbgM
ykri/6qJbcYhjdzDA2k7oN6AE2FcMhO9nywYMAsYR2Si2ntCPSZU52F30LOh9CiRpQ3jMbsDn/Ex
Zs19xfhWF8raJhztkE7adBX5eR4svV+fxeC8AQO98xv+l1DPrkFfjWvLGNbdVObrcPTBZvOjMY18
BZD2IrLlqRjqRz9tjkncvQlWl2ld8MUuBNCUZJxaNqPVMNrXS+19IRoOTedMQB2AyCOI3SrgWNXQ
PvR02M609Vm6ZrHZrWyv2vJs2LhaA++tfknVecZVZMskLtoNmWOfloScQ0U9G736jqsy17bUbLzb
7hseTVOkNPAExIgI9qQNNdPTW2i21c6glvI0QttKu6D7W51au3hesrFdeSwnuw3cFt1h1/EELgck
mVaRUq5V4fYjqtOoavlAI6CKO/fHjVTlvps/QtfZGEattiPRO3G5Xwc3qsDo0Sr0qmnQVfvg0UeE
7ewgdKa1qNP6gmL73VNNB8GHURCrRoSEDXtV0ptIo39K6VUG1bQ4DsABDxG2ikZTbU1MfzPQ50yk
2Paq8ekLUv5UKyRVU+Sp9sjrUPQkWdSvUSCLvcuBeVOphgpdJUdw1WPRa2Xfmi66r3D0SElTDVlP
Z4bMP+JUVb27qmnrJi1BaRCiVe4raz32WUaepwW2SjV8QsdqM6kmEHLnvavawgVN1d6gU+zxggTg
zXGSTkRYJg3xtaZlHXNtvDg6ISWuGXKZL7wN2+RT4Rh72P10LZF/nkoUwblm2IEb6wcRgRhyMC0g
xmUvn+bTuZq0Q1v1LeaD7DNd2HNKn1rP421qDdNaj4oPHlI3rREVq3b0bjDoiA2gd3BcXSlBX3e3
Zm1+SS3sC0xcmHfmT2Pq34BauKd6pKwWltechciq0+xo69kpZqMI3XAfEl9TNUCdCCcitesjXWSz
B3+/W4bRVewj4BncX1d+lNxXcTTypk6AkdbZczlWz3obQ12Q1jtK2LfSgRet9xWoaA6UCIrNa4xZ
T2mrHfVIXnl+IejF7I0T11chBlSiieFwIz9cpb722jfzzk2rU9UW+Wp0VbGP3Jd+wbKfRaa/l7UL
7oaU1P2I7hFegm+djazyNFS9LPT/XfJ+Pzr+TyGSogauPghE+29Hx5+VSCxRMfTRzfLfKl/gD6XR
sQja5OaHUkkBkv+Y+pzf1B4Xu7j+e1zF70IkR9kgyaTg0IWmlWL7jxa9rlrk/rTo9Q1bZ7qkNFKM
bf+XRW83zLZNgqx2Ax4+xa91kAlMjDJ3SvZPfbXN3HmvdRaMsbi4MMDiokmobmNDBujcV2t2hoel
xalSpwNyDcfBITDO4bppvJFRqftEnvQToa9vtWiusVEcFnTD1KO83VgVpLvafIz8lnmh4ARCovZk
pCReNOZnByKsdB1CJ01x8YXGJdALbaSK7bOY3K9obKZtOtb3Be2wqxesXQlYXQ0aSxNsAi/WANY5
0WvQN5iHUsKlSdLTtiV+PALO292YkTNlhUDTuqG4ihd3TNZ2CFtuGe1UW5ND91bnUpsv6Sg9ucWR
P6KyrLqes1OTipqtrm5FayDQAEhGnxiLFs1ENxcbKKRu0MzmRtpw0DItvR3SuV/5ZR4UFZ6wQaRf
etf9CIkegaBGg272N7l8NEjbgikxkgju42Zhh3TvTjpWwsJ4S/NOIwKtNRDOMAd2DIlO2HVXjSg/
NUactmBr4kps7JkEvJVTWMalySKwGrFrr8c5exAx+1sldukmBDrsbF9KqyImy8XquUzViRPvHGiu
vyldFvZRfSjzCqRjtyvaeJv77hVYnxeXPURNyzQfKrwpiGnFAZo8hZzve8Oi22DXh6BF5OQO8vU8
gw5IrsDQog1RsmZPCZzx6hfn0BMPOc3OtoAfSMfiHq0iYczqxyZ5yjpcXrAWAXFu9BEhmjFfRIdY
WDjkrKV5xcGrFveRnC9hQ4zu0ppnxG1EiRt77rwXO3UPYb7sMjkg40AhKvsIPkhxJkJuZ0wGLg9B
OB0QhW6sV3FqE6depM+2W+EeifHqe0+FRmqA33b7aYge6nI5tWNy3xbDC/GIezLwmEPzuA6cBhn1
kpi7iRqzhZRobCd3PmF9Ekd+5QhHhvQjnVhltHxtGr3gxjSxi6IsWk2LuzMX+81oCccuBSMWDcYS
hXcFQSKH2e6jk6lZ9wzGn0oN70n30A66zq7Cv0Rxuq4BA5b1ctU6+pPw0xE1c7rrkha1FvaYyjSv
ky57K4YoIdHN2db9zI61qddxHSWYRoiEaObx3Q/1aiOKcb04CwcWDsDCeza4WFadhqZWpTLYn8xa
wCAL0/slis+jbj037ajsmU95I/SNMJjOyRcOkky7CYW/S4vyZkh6bwVW+pMMWWybgJp94nBXpsyP
ec4/w58/9kMPfbw4eNFwgptz5F8um2kyTQ4dNnXMG3Njqyf9jOeEGPe7WNDek0gTvaaJwdU6BRtu
i68LOsgska+dP7LDl5vZ40swvbfeK6+LwUJRzwmXq0iAOnzfRvXL7NKKGEpnMFrOyTOGO09v8jXw
B+yarfmSDO0B4GCQazJcVZ51MdPowD7vYpQAI+ZFXtsSrTMSw11Ytt7Bb+t9nJF46WXPqZGd6Fce
3bIWgN7EXR9ba6POr2OI4pkYiKO07tuE30VRy89WoW5jcK2lgeKjGA7RDOo6TeQ+N5pj4xt3vEiu
qgHNAtuuM4G3W9xikleVfAGesGabn29lJ26rfDyCoDxqpkD7BaDRmrGXt9a2b5FjLeN+BImBqO40
gZDr8+XSy4xIwaK5Ns32ONW8ZD267aLLH0mIf8uwdyMSO/St9dERShNXzkE34yfZJfe21z0QQpIj
CUcuZYMNkh5A0PqgFyAvF0ItiYI7zX0JvsTgHaaP13GVHZOlfJty897PmWaMmdanaoA1YHC1ZLIt
6/psF9Uxcb2v//Ym33oTpV36+5F9/ZH/3w0QkY+/Tu3qA/+Y2s3fbJ2HNvKD77lYP7QmFuENTMys
qf8TUfN7a2KBQRaCZTW4BYtUM5Ou5T+9iaX/ZnrCJYtGmW5cJu5/0puomfzHzoSlgW0DvMdG5DMa
/Eo07sMh7fKlNG5LAN8iS05uhDhFzt+3On+PGf621/7zE/GdsINQECDdJI8HgdcvWmyNNaUNDWG8
tW2Wbj2GfGtjL8NVkZAqXeHeXmkjAhi6obM/D6cmqx9dgwtQ3fVTMBbIQbNWz46ytf01VBIRmHNP
/bZxiIZj+wLLoQ4KL2Yvq8bZuMvvaz5hwHPhthIJWyy3JDSy4R3taRJKDhkDhADgZS6mgFBgyGF6
tyjl094kaXUbOnKLkq1fDwTcgBWY2Bpaz9jir8lMROmhmy88GKoAFfQ9Ksw7rZhuNM3mGgYyQIxJ
unI8/0Aq+s0YFhHNkv7IZo6yzeFobai9H/e9C+Hq29Eann2v/cCv+RYV82urtMjZ4LJUnpNbuw2P
DsHhW9elpPlhu+tiJR9q20eMV/vEs3C3x/GRvvdTOcbZVhZ4Ox05w8uspnqtDSptADXoVudErBeF
4uGkZ8sDdaOQy1ptrjn1vw2u/th2ERZIOLqYtu/cZtjBZ9ojP9ZWPTpfvlAT+2+Puyc27HsNMULA
ucxD2PPm98iAzWk9NDG4mcHKVrwg1qykUA516Y6e6Ks3I8gWjn2tyYGtZkmiBqHLge7ON8aIJGBm
dh5jnexVPb8l5T7dUsV3S2FdR1EYrXrd2vmSn208cuXWHDRbdeO/lYRWAAK7q8plXmP3f0oc1F8R
ief0e/l9Nw4H3c4koi3xWWBKX0Xj/JQnib2bzOVsTJDkujgF8rC0X5CFfTGoh0E26fsq9w+gJjHW
Yj4leuRSZN4aOYBzcs0FE2defl7S+iV2uzgonOqB1Xu6tho324+DuXPdMTBw7pAsQPY6LzE4D3h3
NvoUN++ASqJ2u3gaVdd2JrAGYqK4rmajjbq9NTblWrjjVvdG5c9tp6s8t0GrzXogFJvYMr+Mwj8k
tr6VC1rs1ZzV8imzTRV2MOpiWdmJ2qjjbFtnqXEwERPr5Ib0SmnuNe8ckO70TPsgvDNDU9ddKl6N
xFtICFddD0pvXFcjjBGtsDmXj/LktdxjNJhVNvZlwgpkQnRDNL46qdttpqhG/sd9tsOsxJZvFVvd
qU5Jb+q7/Tj2L0uIfnjC3S5TcZu21XXm8JY1y+yWNTabCu2w5LHFaB3HG4ATJMjI5IszUr3gjyDD
HPS7uHeIz+0/Mk5LAcdWVjj1y9hu4F0eYqs9Zr22nx33fUrF22LPWeDmc4fN7C237uXYEbsxXNUM
HblGS0nktLFF9R37FpzpxdyMUGIkAcetHnMiWWq5M920p9Ek+CWS1ltp6at+qsZ1qLUtWJCa3VB5
nqvxta1SXMqz9dT3wruutdRqHhRwKvKsNkRfoaKJfygwdBBzVJU/pqX/giRVT1HKhcLvqPWv0H+N
S++6DhD07My3I0KzlbULr6b76vpAN6q9l8/1JjvAl1yFR84fyGN25uF/f37K2A/V4j+f3nepO4Zp
2GDq+fsfjpfoCG2pOcNyK933Ojz4golregPIs/rnn8cQukDTKlAFi1/mZWQ/NrZuudzqySmeulWe
f/jRAbLv/+fz/Fz9vn8//DypgThh0WL9ogVuWDPaAzCBW8c+ts65BhwfW8//+3uxfl6L/+eT/PDN
/PJJhliIziA07FZuuycgmhu5F188AOMrxJy8xlZ3LFBXxdbYP95463x1I6+T7VO3CTeX9Gpc7dkp
n/o1/3BdbfmzefrfX5/Sx/3ll8rGntAp8E4+ROmff6n5sCzcEYV+S77STXhhJXatP0dXBu6JYFjP
q6tXfTcFN8123Nt2UBzZMV4A6WwJegu+fSn/chaVLfrvG0m15FonH9F/23Hxgb83krqjojFoCrmu
oFBQssTfd1y6+xsqQg8oF9CMn6LDTLpP/jnbrz/XX78vuQwFbYTZiDsOXcQ/XHLRtP70OuJL4j8z
TA+ZI8oG5S7/+XUEoCHmiN2b12AaCoKeMziuILodO1NN3lijOZSLy3HYErUxAVacl/uhCtdRXDKG
D6n7nsVlYPZNEInmDd6Urt8ixKNapBKZ0KqTpX8uqn65iswhTw5NPxsP2Ak1+6B3AjCh72v9uQjN
EEOJA0KX6K5Uv09ctFPHJVry7rMPboMYBRPw1oXt2E46Zf6Bgghoa5kMbI0sb0h3IvV0oCBeIu/Y
AfcHi+wa9MhLTGxYKOYBpZ2L9sptYnE0Bj88tk3DYbyk/9rEk98EbUOW6iDm5Gj3s3UKwwUHX+qH
/vvQlQihrCZEfelaLAiyMh5u6afUYePNzaLPqcMwz0xQBLVjf9R98eH4FYt5WTTWl7HnZA6Qwmii
8UD4hb3tM214GxFqrqQhsCeQV64DkhlTHIO996xriJF9RAywRxy578zSOICCjU8a6Wb7TG/dGxq9
6bDUdbOzbFkhfFh6PFglUA2vpm1pmTh9GV7zy6Wv7L2gG7tw7fXF0RsIYrPDFh+1bS+HzMLbkHC+
5lIew+toOAxERrYyZy8Nqg4GrFvikPL8D8+KtZ0nlz1JXGczTZwdQB0qWKeehmFLVq41vVgxGPkM
uCIXHXtX6T73LiaBHmkDSfETGrcYsbkPzXHd2q6N8qw2ziLKMrJAbPOudJzyIxVWe1U0SflMDnob
QGb6UuKzO/771Po+/lIp/v6ptcn/b121QN7/y/jLB/7x1PJ/Q0kNRt20vj2Zft7M6+pUjE0N5CDj
8Z+beXTWKLOZlw029zxX+Kvfn1rKPmxwVkWGzaL7H3qEsRb98tSCroHgC8UYm3keXPov1a+Jwglc
ggTyzqp2VJRn7Dlrjafmyk279lZbFAuaFv/FtrhB+gpx17tQ4LyCwMFOk+XVEhFUmC10lgLINGZA
d90ioQlq7vLbxSLbr0gW4CotGYS9NVSE5/jcTjvo1SkYaxha4GInL0Z54j76oK7phcuts4Avd8Fg
02FE+xYwNn6P53BEBSLT+r6t1KFLS/y9LqLPpUX7boqjVgw3lYh5ryjytmhTHXoA6+QaLHc+JrtZ
cborgN34SF9DnEa9U3fHWB3iZZRvI/JpgmEEnEOa3ycHBO2+VyzwdrLnrV9NH07lfAB7TNfk2XG9
bhAOT+ZLaVTlFbdbYHtgxg0ZX2LFHefL5IlbnDMWuJ4p3UAjK6d6mlDmsL/Xdxny0Z1NNCpLvG1U
EeMV4nlcbB55ub6ZVIxqldc7YDlfIA3cjU4W7eHJEuEi7WjDswH1eKKhktamsxuPJtAq4ykhtFWq
9FbL0Cvy+DwABPVIqCAhr7nEEOP0bwXYRq7tJPmAqjsvKhnWE/MTN+DRu506oKh1P6Evzmnk/VOs
1V+XIbY5G0gUuelgIXxTeIsln3ZFglO7SVL/UDdzfDEz4xEnC0zwmTO0gZJ2iTLzdRHuqi4oUMPD
4OTRDfIw/EWiaH3iBLN9bVebkUWmjkOV0cjDcYtVmQ168qQszGTqDd7K1LBNImBQdKR6wrHU88jU
qtsoDXGkdIidHPHgaoCJxxSS/sA6J3eurKHkRwwoOEyn59pOvrhmccJLw9VCb6BFtUgEXG14R+CN
UdUyXzkLvLEUQBUeubvZtyrO/eneEBigXbgc07BsNcMsYfnjtuGBjrCas0h2ckL3Wh/AhngzDq2l
/CrUDUEOnoNdZiaeLovsldTSz7qjvdgGMXnxdPf/2DuTJceNrOm+yv8CkAGBwLQlAc5kzuMGlpmV
iXme8fTfQeovdbXU3Wbay6w3ailrIIngjevux9OwPU29ck8u/rVlyGe1gSsaO2011hc81A9jHh+n
Af218sVjkGEvC2v/3h9x48a8QqUI5AbEBeVztnPJBSxPa3jABDOv0gCReVRYBFiR+t5I53ao40tQ
Eo3ynWBlW/2yZr/VJ/4umR+BydL2dNuvpW0fAgwBnTkcS8V4D6b2cVmyBLlB9aZxFUbzTq+zVamC
jMes/2x0tr2NA0qrkgjDIMcc6YJKgYA10Q/ojz0KW1Q/10120J3+nOh8A6vzY5fTZdkrpBMqfdgz
kERrPrC0eirpLdWX76We0ZOXpGgfpr0Vbax7lNnZHh6BxoNhnW0KBzuiJEKPNSTe51a5HhsY9YJu
z+XE5ZRCd0hkf1107E0EWvumQ84JVOj8Gv48lZeAM+lGn8xz3DkfaKGLN858EKY867IiWddR1cjs
Bd94OeLqcKaUWb0TTr5JLZKIomyAgtGz6mhGustIfmtpS5I/a00iBuNTNwd3mirfrQyLZCDsc9KH
kG4CRdmwdbwl8gmuJ0i09SSsdxFZiaflKZXOZulNOhSWLBLgXO1pk1AHWLezfxdXpCmiWrvPox5/
EI7UjzJUcAX1vUeV++0QRU8DGbuarB1ooC9Ut8FrgRvQs6nSe7ok86JmSemx7cuesu/s3iwC4HZm
X3iAzI+GXd87C3S+XvDz81y8QmR0vFL2+qqFUU9UZlxZffNutkq1nrv6WkbpJYRrT5bndYRzry3A
e3iVh3QWXkLdjNe1xg18+3PnKPgsFlx+DBjGhp+vKqCq6wWpj/NCZf/Q3evQ9iMfPjn0/bjHu5+Q
VeJPMz87C6G/mh4zY7gph/iazwMvAiz/DKY/RFyVggsaW3sV/4pFqgAl4i6nCUAzm4NKM4BUx4dc
oIdK49okxlo6Mgcaw1O9lApYqckyaSkagPIlaMSkfCBXcTtwxsJZLHc5/QT1UlRg0VhAfAVbxVJi
YCx1BnQaUGxQxvt5qTpQEsbT7/KDpQaBVl+xp4szArxDSUKhU5eQqDU+5qVCIRhZbi6lCv9MZb9P
ZUwo/30q21Dgmf+nkYyf+mMks3/TTeAoqAjY2rn8/esiSSOPgymUqQtbIDb5X2j9XDFtAxe89i06
fE9rP0cy47eF5kL1jvX/vRR/R5GAJ/3nkcwRJCip/rE0brVkyP/9Iplk3AvG1rcuWIQPQVv1+bkd
xGSuSVWWZeFyVZu39tA06yzMAowPTkjnfeHkVLy2cfgy6s1dFlaTGzY5vNa228I5d9kesk9Vc4Hm
mkJbduJ3HfoFD6oBjlhB9c5n44ItpGW7q7wUQ3ZL5/TT0BVactNS+nxHH/DOGchQWz7VozzJAZnv
S0IYnP67vqLfWAleQLeG174fRuZ1mE7WtZHbrIglNnJ9ZQJ5KTBAZGp+b1qKvvE5pwavGTW/vaqU
JoweO76Ie5pmhqdEOCEN20mxI/QdT3wF1+chloehM26NAFajb+WP6rxEk6iNLcLyQyzUGDPsQPDP
0bomPkRlw3uYx/OqVuTF7AQgmPGxo7ZwrTMQKsBwlYwjIFhgKbIsNdeeBhAOOUhBTYZPsDlsttsJ
+ArjDq34Ko5LHPhK9EM41j3C76cq48hrMl4Uw25vLD3huw93JrjegVLYoExeJz3ge3KIdurMZrla
BIIste+rVBObIid3lOstrotY7EjnrHLosW42RHs9BLBrZMTA8hp6WkNCCZRclXJwTAe9FDe+6LL1
rIegZKTYFQnrcWEnMJKnUewxaCBtdOoPtQAc1jXQh33Dx5uB1SJ33oKwOJLvOTY64YDIpj5Ynx28
dRhDHcJBo6/8MJx5k6rjvvRhdtWkJykQd8sa2GiWLyB9v/xqC/bJRMUIJyvZxxA6Izz//JmPdIuL
u7d2mFOBn+bGjdSqBUZNVgrXC3MjGCwH8Qfw2ioINajKOGI7vlFX6lgbayrBmzWfNzc0iucuFsCW
g/bQ8g62TbchSBhtRwP+kKlWJBBzuc/66WqsjCetaS9OG93HbYFVVG0esyC8DZfYZKl2Wy1YjKkm
sL0+rG8ny7+nAflmrjoeEUJvLvkr7BhRNEEE8K877IgTeEjKIJSPulJCV5Vlsp0MvqRmzUnXQ0fx
Q2A0lEOo9H3KaT6QpbqKp2LaFDbY6rLL9XXW0+ZYyeEEy+dHmkYEqGBn1010NuOSzgjVOk4FiHYV
r+xqIqGi8QC4Uovx75XDZnLaK6eWz70Sqmse9Z7Ifmauw07/yiYWEzTP3XZzuW47i2RGRTmcNc4r
mReQQBLMPsOc7xTJp9NfRromjT7TScx8OVrPxmDcCZSXfV8QGExrseeaqLu6bZ/CXoE2I5G21EzK
zVDFV1FguqaS3GYpLPGQz/YQWqRw48SLMudaBHm1MVPuE2Qj0dNq8MtVbt4P2gLcrtUvX8hXVU8/
8Jrtq0Hnex6EAQWk4lM2yiNtmc46y7LHbGiFJ5zubppasPVm9lJM8mhAoid4SHIBO7QlRxOzhF1a
+L7UCcBw9U7Kl6Yoo+Ipt0rSp9XZVAgnzgm3q35+r3XxUrE73DkqAYjSsa7nrs9Z4YRAfWoa0E1i
GysnnIjQYXBWrfYuzFsqkks1BWZbTKvOwnpCt/0rXNY7Ol/t9RDaMIY6f3DrDuErLkus05F66eEM
eWhRn/08OS404XMci97t/cLaJUmOr02RWDc7UnYZ8TncIcMHgmC21hqp71R/MC7RaEB4bKoRoVaE
ri6q2yFngJls6FIa0Lokykfep4h2KX1yIyOe3CkOyzNc7P2U+a9ZPpJ7UlijsRUNVqPOp7Ws4w+T
5sAVrtzZM3J/E0h92pk53o2ilJsEFJUbWma6sW0ufpyH8xbi8mttG5u8ViipJofJyH4DGNGk6IoK
0olY4grh09mMSk72hqa4GxNT9caqtH0V6Cd6VeBnZbG95Z5MAxr4zLXfT9Mh7LofCcVfm7Bs9YMA
rbo2SkBFyRjkuzCndnUeMt6bYVI25EaLlcJwvwpoFF0ZbQ/SgfSRptmEXYz+GKTOwXfmoxLNGV5s
7jd+Mt/U2bJXte5sfEmnueGmR1nqojlP12UX3ucCuRROf7opdeawLlRq4Arth1lh2MpMaW9Hm2Xb
pLHApfAKG14aXrcRLgF/Vt2kiPptWc5HQmsnKtNcgjfXPVUpnh5XKvktrtuRVV8cI/6wQamljc9C
wiLbbdJ+gOvYoJ/KnjzfDBDLZrD4qjo8YnJ7KxIFQmB0l9CPtlbRhjzooeaqluVnSiYoyFTsNrok
0RZJfslIAD1P1Zcy4vbVd9HFdzowX5rau0NVw4P2k2Nuk5CLxzh4rMKUmjP/xeQytRI8ulaafdVZ
+2LowBfD9lJ+a7ht9uGTOfc0B0HVydJHLMM4FCIUWqEoN7Naqq6SRmeNahpcickxrZlEJN+phtJz
gGna50jXpdX5JxvsCnnn6UCUi1R5AlfYyJ+yifh3TrzBnDJ2pLFc84YeqkY74j7/oZT21zByfTTZ
oOSVAsA6/sSysGm6ot02Vuk1Jf92KJRHNVZPc3DMYu4qnQX1KllqXd/DhsO3V1QKMa19F8HvMihC
WDdmfZibgZtbwtuTcVOPWf2MM59nCItci4X81NUC55Bh3UVxwH/MAd5n8JLrFJqkWrCP4bHbMrm9
MoHto7HYVEw6KO3mYTbIjxPZvzIrKgqc4UnT+cXLEV+/Hx8TtlZbPWs/JHy8ALLjuoRApdINsQwx
ms4XHqv5rRFicZ1s/YIe/lAPA9fRRiWwX1bXZeScMIHj/TCr204h32bFhoaXIdtSTc+9VMSeqQ0w
ZfWSkEGWBZvI59HJZ2wJwPvush76jLBzQo3Mnfj9I5qESAznst5bengYpvgrhBW6CQb7atLibTFv
G4eSQntbT7mrjSdbSe7DtMeoImW2RqfZUqkL1QBDImn0d90eNuYQvNtmdCLaQSbNJ+3flNUb3XkQ
1sUQG3wR9/WRx+c+mFircX971EpqlPHz2k3t2Ts9SHeiIH3SJq5v6+VNbtZLC0AemWDDpKEpT2Ff
FOoaH31TH3AqLIbZ6Ns9C1wVJ+3Eu5OrRqS4cjHaBt+eW8jyIBjYAoyLIZc753Z26Aqu8eoqQF3d
fLHvRrJwZZZ0rt8Xz76tzV5u9yRxpkDzUvy/ep3f4eYjManLrwqHMN0CxorcNn/TqN1AudiHlnwr
8/F6jBwScdZChI1auAIWT0iSSDqhBkqIMd0CbllKVBKVLza2/Sbv3/LeMZt3AFoCJzxVtUaNAFXi
Y2td+paihs46Lf1eIErjN82ZXPz2J22emG6K8p3vlokw6VLkYj80USQPLY0Hs9/n2zlW4RBSaSz7
7prIfciQR3aQq8SKuWZwTT//UQ8ZKJ2QYBI5xw0G15Os0luR9F7eAlXENzfsOHdPzoC5YzL4sjOa
Ztf1PNGx4DekA3KNANLgxcNs0sywsst4WwqmXUdLXpMqojXmKinp3TLwWI/63qiBTDl2f1EoYGJF
iXJlxD/KCbxSoIGmnKJLEagXAyRwmvcXKa5MVnXKDAKpVoJDrxZPyRDs2zB6aa32oXQKzA3Qk+x6
O5rWHV6ONXPvZarEa1RqO6dROBmzYD9P1ryPu/SVP+BDuFztLWZBL2zL6Mip8Cqzon/KZporiio+
QlMoXDj7BU1S83noJ9CApvZc9hB24uSGEt+3pLTBXTaIRpPzkhrFKdLDp2xgB/rPhf77Qq9jGPjv
F/prgPZvzV81luWnfl7olx5dx9FJP2hghsjw/HKhp0Oa7jv8h4KosEod9B8WQ5VivqUSTwJjA6+2
hBJ+Xugh4DgA0mjm+5mM+BvBQN36dwcE+jOxDLEw4ZaWa9qpl3//i21E0vtG8fOkXRkp6aZd1Pd0
wdpVcqaqaS3n5oYY8JNPVIslZbod+I5QiL0BBfdXRhFsHR/aYgROpm7L0NML8uMEVR2pHjs/gKc/
cklp3Lnbcbt6gap98AOa6oIrjVK0cxE1NpllplFLY5BJGpBchF5/QHShrqEDPyJ9+4XOaorlWbFv
5NC+zAWZHlAcrm7017BAdI/GE2LyCCxzz2xPgPcMy85kqEkfcwXDf1arn1HZfA2z+GErJXpyl4Tr
Wox3mT2ynR7lC9PcUz1LE1M6Bnvw7TSRsrM2p+moyOTW1CaO5zybgSrGLsEU/kO/+TJ85IZ+bj7q
XoOGyAkZiyha+T556CysgVQV+oeaPEMGCRtzuSjTiDfUOzN2QjYEbe1yFZ8karw6ZiQVdB3WFtXX
dJHorfOmRdLvvWisYYnnPSfjmCc7JpalRYUpo6X2zVOp62FCc0avEXa6gWiCy0j0tbY2I9T8KRja
Gw5zjb9YWt/0hR5v6UOoWCWnvFQN5r2mJo4ZVjFlHjkVJ1llPhczPccQTAZP1pI2goLpsV1EFqpc
8eo7vrE1rWG6IaLDCriL6a8nb4hJmmVzuqBfKH85+4Yau+Q4mkMY9NZ2rNnj5rR7N25FOy9haZ0I
dNJ9Caewt2wegNYlqHkoEO99y9sHb3+pAAGlpFW41CLOyB2bsU9HKWjvqQa4bSUfVbBGe+oXmzUR
sfTa1iHFa3AnSZ3AjXEoH9rKVEeQ6htja4fVZzZqzpbSFVrMayW9tuYCN42dQgym3+/NLhZr/BSp
O7IpvDYqk1ouGCt0rU1qV7Ms6Ck0pRO2yzmEG1axjQHqu7WV+jiApzsGQ1dvnXBRmVRb35atSdMT
3RBE74yvSFpyJafwS1OkvuWKqLBWmDMCpA5yfm3b8l3NmGxREMLVQDaFdX1Neo39tufjH+QbDe6A
G+dd+s4zFxzqWKi7YaYgzQtjm2+YUbeJlPZGHX9RFTbtqC8QNwVqErOS1Rxbrgj1UYfeVKvjPeW1
oBpUnKaU/SabIq0eJwUggTrDhqOGpvAaZHw2Hi9KUD2l+DhXPvYFL0Rd9fqsANKnWgsmPX7U8gJ4
RRO9Ts5MiB7H4GlCe2FxxSJ67m6inDyEYdIUX+Tga5zO/GRce+1UfzMENmECR/ka4nap+4hedCU+
pDJ9Hs2BiEijmGuSn8sh4px5KfZd4nwVPKfkXXFSZPY94951pYWHkqpTVlLFha3HhzCdpz5ViEPW
43U71/berutdMTd3MPseqtD0PbXFClN1tdfHE0BiYF9bnWX3Os5HYFJZfhz4oq7t8DZQa4M6X2KK
XapXR0Od+YaNUehysWOJfkgs/8rWh7MyIk9PgDJ5UqJ6lfNhAwSW5mw9nOidHur81UzaeBfoPTBD
2WGhrBx5MGnuQ1gpGgCR2bvTMIVkapd7pl5d09l8B6xq2MZsOA9B3vEoQ8vzkmmw+SPBZJpAKW7K
kTPJL4bgJsNQDsKpUW665eGZVd8Hn8Nv2pZG6MV+5GzVpoxu06AuXVuQouGE6YhoA6dVDHCapdTo
G4pRwOKl3UH1rWk7djSy+UhfLtUj0nPmmM1EbXw1UzC7iZz3ZH2uwDEdMz0+GbQfEHlRxVYfKLUi
kuFvEtlEG6JYsP99EIdcWIqdQMdmOwGIJEypMI0isRX6yFGPuLELM55aMQCNT3OqeMxw2UGVnFJq
BcNsgFt/Y9QYjMN+BOYca+YW3ZR0LOQDZKsW4HaWonxYQ/fPqPM7A0Gwyv9fo87bx2f911Fn+alf
Rx3sH3z94T79C12WGKeUOq4QAzsaU9CvDARTX4IUDp7tPzMQqBPBZYKxdhme/hbeh8fsz9oFPnx2
L4JRRwgDT8m/jzr9NPSyldZw1Y59smYB/FT0mOkXfTJ1gqtMq+IP7n85vmH9Xm9Z/fS64t/Z1vDF
jnODMCJX86J9BrRTqYsamlk8IVHtv9eLUjqmdHT0XX4rSfmwNi387YA7y14U1rC03js9ujP7+Slc
NFixqLGilOuxCHF7WSWbcxTbbNFudUTcORV3/F7u0BKJqgdqRMSi+MaY4Nb+bJ7bxHmQiyqcJ8GP
uLHP+JpvVDlehRjVCwtfSY+gLDC4bhj7WM4iNo8CcAmjKEn8RYnOFlRAsOio1VqvunivLor1wI2E
pr1s4yxqNuhAmxKRUvf0xN+ai+ZdLOq3X8r72sH6xvDW6brXsQ3gKxWlPMogJ2lsTtpFRYft/Wg4
P2hadJm4zg1KO+za505FBSlh3awILhDomsAXmj2IXGOcPrk/7XvN2lg6Vh5HDR8DLWP9TSMZkclq
JVH4A5T+WFhXQ4RJbnEAFPVjgSOg66YjyP6tkszuknBgc7Pv/ORGLFaCwDBvbV4hn0Am/cn1ZkjT
S437wMSFkIwzxGsyMvBxsCg4eBUyPAsx3gVRYmKg0UZuyk5rcFVbRy2278GdEzaY1ceojwmh44aY
cUWUuCNKXBLBYpdo8E1gkXkd8VGUenca8VW0EHdVfBbgbj9olgOiuFgw6jKAkbvYMgR0JQufhroY
NirpnHmbTgNOjgr2ui+/2G15/uLyGLB7QP6nj0UuafuYuRJDjYo1ZI65/Nd58arn5gs022mdT+Ob
7LjG8yFH5AmgtqJen7Q+pc5xfnJqnc0+XQuob4fOnHaF2f5gHcwuLtTvDQwsQRRh//Gra03FDqgl
/ehajsPQokyxqywemEnHXKE6yWPc8iLNMBxZ3MF0kJm4xcnkOWXGxnqx1TSLw4Z5JriIDstRA2tg
D/9ff8lIDRWLOScMoP3OrXwAxh7eTEPt7P1kaeuzmpHAnE9apRskcB8t9qZlMo3wARnx0Don9vrw
nfzQjyevzdh+PvTfyEeDui9gjAHD6V3u66w/lIDuOBkvzgIsVhT0YCKSjPm0XjsLVtKOmfVzZzuV
A8RJRFe3Her0EJXS8rLe1zz0hJeiN2IPkzY1XCEf6XygNC2ksy1CO13DcncD2xnvbL6fkQHDqzGc
fwiAmFEV2C6ex40KyYQEMeFthEYvp3HPTQBqppZ1GaVccfNfz0RSI8Cboc1SswXFabbtPgLNWaOs
pqA606jbsFSkhBaIZ1E2JUD39iCx7l5SbmaJNO94dbUts8alievrESSoAxq01qmpCPzhvTHlY1Ho
z5lKC5QAJxov3Y8VfatszaJHg94jWmUZlmxdIzPVs+fh5rJOwvSkYpbl/xXrMaKAqGqNl3LhmYpK
8Wo9+Zrm6qGMrceyis5pLd9Zv7A8ziwWJs7B7PDUyCqkZACq52pqA2WJ0bxjh7i1Qavy5rGiiecB
b4f1kPX9wBOit0ujHFV8NgUFC8qP3RbTO3S/ouVhmnj06Mq4NKHYN+S5GC7a2xgyYAchkJzB0e/a
U7KgA7l0t9TXYdnz+8yh5wAnU2fZJIUy1ms+/EFl6Q0tnCretJ3DQF+ql3zBFfYLuFBAMCSt/KZM
2Qnz8YMysbCkWAfJBOjhRLM8JR7DrmzQcNm+JK4VVB8UR5CLQz6jHS9/iGwKHcvyI5qtdh0INbsf
83qn5IJ0HbKLzyVtlVp0DHUJgS3f5tgY9lZW+q5vdnBU+HYo2w9HDAx8Wcpnrcm6AZ6jGtCmWqvL
pZVuldyTC/Kn+cZZi2+09T/Ln+/lj/o/J6Jt+pnnfx2Ilh/6YyDSKHQD+yQtB6Thty3jZypAiN9I
BEj+R8ZTYMD9dSBCzYRY9tNg+694qe4QL6Vdm/nFYVIiZ/R3zBya+edUgAHuH6MuvyZXS+a2xezx
y+4nnxrmgM52rkRWT2w/wdls62+Gna7QD+kZYdb4rxjW6hvY8RDvsgV+N0PBY4VxqnMnQStI3hNc
ZhNKEeSeYDNJia2o1FO457U+73PuRF7XOzd4FL5SeHughmy0EEEsX5AGjBCqq60alFs7R1wolZ0S
pe9GPerrBfASxMNNIpbIJusSxP6dpYqditcBYOqwjpwCtE48bYnRXgTyVyRU9JfQSDdY/HeUV3ML
U7T3OOPaBN1qX9vWM+c3wI7hg2X4GQJhytcpf7cXh69XADfJCsfnZz3ZboL1lWRAu+ASiupqxhlH
ig2Df6/tqrY49gmehKFVQcnpSg2y0cr3qs5o2OWK6jbF/IRd5GzPWoYY3bCqSGTtCfwgoRQk9EE/
14mOblMHlhcP2pudEJdrCERWkjlSK7qXbPRfuzhG8i2uxglbqwL0apM1osT8le8ZfpiPIoYojUCg
qw6yXxWZXWzLsNddjA/Zmt53En/TTWYkHIcU1cCJ+zFlUH5V8o+IDD7OWkJ0ekATsugG2sa1r1Yo
B63v9kM7nWK8YWhGqHI9bSNYbLoB6I4Wu5PEmjGaLWjc9DNT8uGZ9/PYGq9zZp5l1KzpPrlOq/ig
mv7d0MQtx2ESNy65uYqIg8g7NAwgTUsDQ1qENJQw0dJ8EhjWPm1suAVGH8IUsElRQmpyzoRJwoOV
FCAsWHzveV1K1ZNqVG5DthJ3fuJ3DjAybcT/WuAF6Y1JbsvakKmbdmOw1UDSYtrOa3GiGK97sgvT
3ilzoj7/cxx+H4ca96X/fkHcZ+VnHb2lfz0Rl5/7eSJq8je5pCMxnX6fepxIP09EIlQaQXyLw4hi
BFh6/zoR9d+IQlkErGgMYxnOPfCPbbj4jew+bjTJaQphz5Z/60T8rsT8VxKeiylVmYZgF2+Ihcm3
AIl+PRGtEJ7KqFTTedRLuo1oBSBVXlrE1r/Uec4NFeuW2hacPthjZsbkZCnngGBN3Y3JptgXiFY2
nlbqHHprWlGs+BGoKGyF47+Rkb9L/CQDscyqoppNeuINaDVE85tzYZpf1B7HbpJRPajly76k63TP
gmnitWzCSBlpxgmgdLZX8rStGMITOmZBmYfrOA64daga/iG0WIxEyRGfaO425TBtasMBhF2BqUnJ
n6+Ju2ONwsZ3kf10SAzQ5kXrH7MoTTaJ4iBxceDbK1uYIJcTsgWjY2H1WOA2lT4ma427qluNabQB
DU8cWiovKXUYpTnmByvs7jUzVF0/Q7BEGC0pPpmUSx2bH0POAF9xM92yqv2a4/gV4hA3Xtlr2R7G
u38qZTw9IPrDTqrDcwBNdd+F8WcbzOJF1CGGKCx6m95MKU1pUq6qPNHwSp3cOWLW1iDFq8pBlqN6
Mtg3biOiWyuwZeaptqwbm9qqO1K/+yGc7pWSfrRCsh0GUX5jmbg3iO/DR1Wl6YbFWOznBCFaqoyl
45QoJy3slkUnuMGXvgxwnql6wjZ10tptkCk0ia/mujbrq5D3rifbFp0nLarwuQWaj3Mq5ldyiH6R
gSvZa2O/4zSj0HpJySliCcyxZIZls6Toou9AHY3qKMQOL4J/5SAWI9ay9uw1JzkJfHMw3uY7yZ5/
dP85vX4/vRhu/sfpRTXKfzi5+Jk/Ti7jN5MqCjgZ0v6TMVeD1QnZjHylqlvav1HMLI47Rj/LtHTC
nAxZ/zq5DIDXpmXQVS6+A55/c5b7s45H7tzRlz8D7E+dtDCK4a8nlx6mJdw8q71kiRluiiKN3LHI
pD3fgA+Y8UJETsjeyJNhr4Z4vHvkHUNrhYbnm/6aYS2nSKfr06ad4YqsDbk9Kn8Gg823NppVR1Nt
GupbUB1YgFdSphHIWsWPe0ptfKfIX+fa7OS11XVOnbuWWvbyOBrGAP9eU6q4ebNmqv1mvPz0AeKR
GGtqS+HXhvU2bkrnHFZquA/GRe4YBvlQFZCibQzzVVckLBGSOHO1auiP0YSJETdtfrHSpLuFEjy8
q7lhlESawuCdLOG4SRs1O0VmUnjQNfxLrBhyQ7wlxPWpkWO0aSG+gVXl7/HtDOckt4aLFvetW+Mc
LQY8wThCRP1mR4wxaYthZB1iO9qHRtzei6HCYEJN0gfNH862D9PhxL6Z5fscbVN0nVt0mBQhBmtt
2qmjxPjFhGa0LX5NU50uNcmvTQLaZSNLDZ8DKzENMhRuYN6mdldRK07xUQnZhP2KeNXncr4O5zmm
pVB04p1NunHsqibYT4xTz7rR6GiPAvtX6QTubGfdVdclH7yk+b5yTO1Oa+jOWMcQbc6S/vQVmK/w
MgHEdoPJiC4GiLqt40Cji2fHvswVrT4Zihtm3W/cZjB94CtJT0QgmscuKzoq7uKccF0kgCdpKGdm
2CS4QVFHtLEybzTgxRvOvuZaj+jBwupRHHGL9cemSQ6YrmZIF4q9qaCkfg0yTHd2mQWHsYiAwUEu
U87UBKmkkhsILsXE2r9tOcKryc63ZYAdVZItW4EsZYsyC8c/pLViPhLeeCJbJ05Coe+aP76/UUBN
nenxXSBQtXo1zSG0DujT+yDCaESJVXyWTTndhmBO3b4ZKm+KutEL+tnfNAQAg39O1t+FA+1/UiKP
n/V/uCUvP/PHyWoxw5nQDUy8EL8fnz9nQswTyFXQ/8kumLppcR7/lA04Ph1bI8wOupFzdKFt/HRI
SE5WkhIqBesmSDTu1n/DIWHxJ/sFwYBBAtMGfCTu3CbMC9DJ/36wskkPVHDF7cVqLHJ/5MVIqIUi
dS2Ws1voX2/I6MOmWuQ1+P6xVA5ZY3eLqSES8UsksOJehX7RVXuuRWUG/SMeVI/8Wmddl7Kuh+t8
KC+lnkT3eOeIAIX6bBFCWrwXsHZe9dTgEM9Bppeqz3kdoMzCPM+XI17IOdy035/WykDH20tfyYij
aa2VNi9ZSNKrXI1knbDh6Z2JLrgRtMFrB9rd5+IumBluthHVA8JrId9sHT3gEm3h9xv71nTrYojZ
pWM5GBbZrU9MzRvGinaixKwfZ2qitV3iTObs6U03Be4kHKThtMMIyNTsK1zxZKngWy5RLLqJGhq3
FAXrSNMEFolzFmMgW4itVoZJe5foKdth6hTSq1GYodhWFv9Mp1/xPA+LJaQkkBbXqzEsrD0hBV31
/hl+voef5TL134cfGBft2/9bp2/1219noOVHfz6pgl4ubmEYXIyf97A/nlTBvxLss7hALbsuHsef
TyozkC1NncjS7x6oX7xM5m9423XBpkvVKVSkA+xvPKmIhX9+VO2FvwqdTDdApcg/E3gsLdDStDaK
K7oAWGQvVxZtmCagilQNiTHQuGckm1Sf9iCuBB2tefiSgfZkrbWxIQMWID8tntPYUFj3YBCQ+DvT
2CpO6cIJjaP6cQIcajvYjO1mohNRab1+Su7N2r+KVdJ3JGlJ7xaxdTMG9NzArlq2FKlt0sdL8EKF
MqVe5jDqoRHKns0FzRKJQVIwV9twHWkOyjtwWS0g6WEH3uwTQ3FUo9gRec0YtCi0QYtbTZwz7HYa
ww3HlmhLrz70GrhrNI9BtI3bwo9aWi9rgu3Gh8nfk0Udv27loOvhC0AmGiFYgX/6cOi19Ca/IKyY
hcmKRu09uRV/n5axyaZ+9Aq2WVu8x+nRMJTh5EdAMtiYU4JRxw9RxTylpC3FzEF8xZfqGss/GuLM
t67Z3ddRhXkjqR5MK7gqq2XO0YeTHBE+9MrvgN/SbpArabkepFqtnaVnMqm6cwkknMarIt3QfLss
cQ5GLh6zuL91cDAAlWPTPw/aztIrjGJJ9KPX9HOQz5dZAFHrLAkxPq6f0xbcKtxo0r/lqQvJbpeo
0Osg6SgfBlNRcBtfNQUoq5IMr5sKE1qTeZP4E8bpoRlcMQdeJTN7MyjFRyW4cgq1oQgKZ1SlbAum
zCyLrrS0O+r6XK8z2Ryrns+M3zXXVUQI0054adR+6jwJRr3JsXrHRN4q/WwZAOFa9pfrCgsnuI/c
TUqFagflOhmL5jyDaOHdiyiOsc1bYYqzU6aFV0/9CLpVQttOKMnQmTpByLWNFyfk2NPB95qguR+d
Mdz0cX4OpP86VT0+VcXecpk0XaNVH2UFw0WvLFdLWeRVHPR2FNxgMPo/9s5jOXJj7bav8sedQ5Hw
wOAO/iqgLIvedU8QZDeZ8EDCA09/F1pX/uhEaC5NFBK7mq6Q+Zm9177SpyJY5HQNMPt744zAg4eW
n2HrHKVKdOzO9lXXtzdJ1SrtrqrcfPmYpzw7uBiO/Kx+RsKlkMRR7CWLdSn7rD6lnf+lysR9Zzff
vXreNqpEEiR3EiVT3ZLZ3Gm7RhjnKo+vk6o6TWl7zd12OxBIHKg2Jh4z6sejE9mfi6OR4ZxCBdsn
feRCqyHi5sFwlotUDbdInow7UimnzWg6fF7GfzmcY3dpQxLI0EmZt439pUX1tCl6/6lk15un8twY
2CyKzmYyYJI7sNz2i3GIhmTEcNvfcdixfu8Cw8DsryX4FCMV3Zptd+XZIKkyrztXfXLv6u6W+NmH
hf0v0hikPTEbsY3RdDwoTIb3vtThmM2MTczM2ecykQeVY40wjNgLqXNXTxzvnLIGElDqeKuLpbj1
Ju3VtcrPqhHfC89AtFDlzwtIHlvPVvEQEmx7jS8RTeQiuq/fvV5DCJ3Fl2RiQTgLcVuQYcReS+k3
iHE+qCymUCzjR9+uHm5nukeBWB/NcviqV8WOaIbXOXEh9qud3xZku0w8L57VWkiA5Es5AZZg4LWr
vXmPbygQdXPrJ/lZQENeWoLvbEW75ZJLS/d1qMrZPzHnePL6CAAgWm3Ttx51YRt77HMIupReA0ZO
p1BpxmXiMbh1K//entvDlFssU/OBoUtuIJPAiwwhnoxrd+3SmIR3WWtt/US9xYpVbjfTDTh5HoKU
+JT+t6R279vOvM/4mXAPYD+UJY1E7t0WHYQ5jEIcYZmF42hVbCwjbJ4h3cdKuWwTcvxDnfY94a/z
PPaKti1PuS2vY+C22EST4WxpehnyC50PtjHdrzEReoEnEM8g6a0eU/IJf1rvNYTDo6aPNFa6hPch
wF2dhF9BORMJUzS4MQmWkNa002L1YCTIK4hp28rY6ck7XDUIsv2WwaPcaq25B6SzbAalmIuB7DCM
+qG3pysmh6RqmGrfl5z1WX09VnV+rPXxRnbTvZirEIrBvKP0PlfKP2i6Nj7Gy9zvxt74yPx+2rTM
xrByssReodX/1lM/D5OY4/x9PXVOStn+tZLSedEvlZTu/4TW06a30R3jLz2PqQOXRTHusJKDifNL
IeVQSPGPy9zIc370Nb+2POswiS7IJeHFdhmi/6Nhkkux9qeWh3E7FnTgY3Bsoe/8seXRI7MDXOna
1/FCkO8TZmcCvdCQFHoQk5oFX4d9VnJpvcx8rStnYn835ndCM7c+TsoCB9gEDKtzRYS5w3NaGMxV
swSzO8Au6e2WBqVtoxMHEjYiiq4lu6uwc9fYulE0fZ2oYbYM1K5np1SBtXrAObbw46r4HYEu2uDV
Kc62gLxuoREo2e/9MiUR08hmJNXtQ6xHr8w/sJxXIsVNl/+womek15NAjT8dfSzu1ADm/eRsqx5Y
88XSZucwI6JJrCQCQ5KPyEOh0kblUL+TR/lVDtRDnVNEJJaWu5bgaHb46UGl2gEdRweMq3wXZpMy
A4rMAO/TUyK1b8alLudLRW73ZLr8ePIFyVUePerKuyvA1fvzsE+XO71znsahfXGo+Sx8j/7l3wfx
x4No/NcH8VL9J9zC+ppfn0P3J/Ru2ClIf0CBuK7hf+loeEQdwHsC45YDlYaYiV8fROa9NCsCFMOv
s+BfZg/rwJfceigJ0Bh42T8Lp/D/MnxgtwX/mfueETKkwD89ie2C3r+3e+damkD4meeJuoXJHiuL
DFxGVRDHox4Hm0a/nGMbjtzqgsiq7cOetfgm7mxB/k6fiALfu+RzUIAiO7fCSOstYthBBmN2NIl8
IMR97FD8vmAe1+pgEdKiOslcza+PrdUgcEJW7kx3sACNjRtrldy5doM3fipfDNEnW0hhh678kSI0
4CtfecBUr2SlSq3dRb14TEvj0pTo4XlugmgW9+VMg6Lrq7goqs91VZxLFV3p4/Q8o1DeQPSNEN1g
IqyPJCRGuBnImkicNMG0xsQ1n1yS9Dz20xji5WaYWLi7PgI16CorZV3ribeqJ6pk+Jp1gG331JTz
d2PtmJJ+eO0mG3OBzFl9CTtALX/bUrHsRmeAkNOT6w58sNua7jIFGTL+QMwls8t1IO4JIxR2PwcI
ixT5fcN3zZrg5ZIl2K8gsSLSv08Elm8563YpOJ/EVgCZ9ZxAWXb3JDg99/bMJEiNV21PNzJAwA9x
izxoltgptzcwChOrygZ/EzGUPlpxhlnaqq5To7pXaiR7tT4nIArjibnw4LEMdJlfYguwUKsBAxqC
zhSbIc84+1ils7M6WVFBbATOCnzCuC27Kd0AD85ATbs4Dc3uQuaDvkPgmV6RgQSSQL70JXNgQtyT
PSimJCB64HZyKZYtv9siszsN/ZBulGheZDXzTszs8zzrD52cQibGSE5hNWdlei8JHUpsrMhugnXW
WZIwwoGxqS0tOjRZFG/F5N/S5Lqhp8yPKtfbg15zVttldW3rbPJis9iVZvbEYIImUG2qWt1oKKfQ
cGFZsVBRbteMqDQvnnFyB6u7oxfmF1H3ZFGl9n4Y84cps4+lVHDZopg4AS+2t3ObDrzRjfhc140e
mD5hUfE4vpSuYWLl6V6mCOuz1T5aLctT2WA7j/2btLW3Woq1we7eJ+yydHXjSM+ZsRXNyAH28Mma
Xf+AmT3bVKkOVGeWR9laFPwd/lhn+YLC7ysDcrKQCatA4ZaoMB0sfWuJ/mlIcETqOGiCyolPQMRO
wvXfyoXIDSGVsTUq/YFR6i5prEc0t3vNrG5HQbMyJeaDxRI98GJRwKzTgCFYl8SttS2jxd2U5C/4
T8p9qc9vhVymQzZLXJIgHQku9LellpWBWRCDDADtS1pCR4AKjvx+AsTuC/QwjGL3yHmbdbOyK0as
tZGRW6EHf2bj4FHN2/mGSJiPJqcjqRp1XbsuAs4oPjUFPgBHnz6gcN0TO+VuHDbqGNfxa7XL/DkO
LGDx+pQBcmRri1XFW9ny+j53xzUvjUTviNQah/XbJtO1ijcAYS1qrmwaoviQyenNibuSNXlZhpPj
X3o4C3hsPrJuMoOKZgLxzcwbqnN3iyY+m9E6U6wf5qUih4vgTidWGI0hlBDTchaNGnZ0XrDge+fe
Isf0KDsEyKxgmMwY6UXPihPrhD2mhzNRAHcpHPgiT49xpx6iWH12k98G5UgKRBXdOFr9WHurqHvG
VCti6Zx9zkXORkYuODRCt+pXd0f1UlZAx90RqSCm/I0NOT8cJcSbZBif/Ra1eF9pPNNlzV+eZJB0
OpPHcWKX1ItN4REx709Gsctm4DDjx9jMNE82CJgSTkUMr2JawRU6BAuMfkaIkfi5WeEWGGyeDcv+
iCXYizlzYYhAwhBthbLQYqsn2DrzZqhhZtQrPGMEXBPYK1BDX9EaqnBvBwz70gRqqEnwGzkcDhse
B99qgG79Bk68tbNXZIdc4R1L7l65XO5BDIyK5V6y7SNvOlor86OOoLb7y76BBlIwgIGGBSBEX1Eh
CKOezBUe4qwYkfHn9eG/VdLP7QpNxN+3K1dv2cd/6FZ4zS9VEmJFjKHoBzGksgAxGQn/UiUZJvZW
i7aD6IgV+cmHfmlXMKpSuFAl4WHlDFg7mV+qJO8nh9U36xRMsSb2rH9m7FiJo3/sV9ZOiUGyB8kb
s+OfUeHoVdgFqNK+yYZcnjVZqOhhmrJSHRwjyfYjvhRQANgElGcHUNjyo9VAwbF7zT5kEZEtxWwU
RF6iXifXyBO71e+0wZvLUwtjwbMxmo1Mf8mWK08amv2LixSevYrYOYWkh4cl5C8eIexDiyMCoBUe
0AX1XSxJVxzPKZGs2o9sViPt7zviWo2B3NZ8TXBt1yzXEaZBTrjrYtb70ZD3ak19FVhhg9YAWl8S
Cdst+rXf+h/wrQh59m4W5R05KB9AJO01ImU1SbZsGVVnRdhss6bOEqLMBFRuPeJoC8N+kok3bRA9
xWzTzZq9sPzCXvaIbD9MRfQFFMtbH5NyOw8q2mQdybdAr8AGWy5TW1JxmwYcAgOas1pHTlljoFbM
rxX4AUZP8qII120I2e3gS3b8oOGvVMQhjozRovpUrMm8AKIPQLKppBhurNm9PrOsMINf4Nbk+pru
fFoI+vWaVfNP8m/cpcd+zQJWayqwz1S2WnOC6zUxOCVrlF38F26xPRtnaMdms+zkjJVM1vG3dk0e
nnEEBtx3e1isp3xNJ2aIdl3W+HPHNbl4LcTqKLZCs/nE9SAOTkbKMSNMRFA2Q1FX/9TWJGTL92/U
mo28rCnJg6sevTU3WSNAGX7qXY7jxh8axpEwmtM1a9leDRbTmr9MzXjyCGR22dNzyYOi1glrtght
hhP2dRLLnfK0R4Q8X8YadExDzDMOOzBNYwbXsE2vC+LnspZM6MZa06GJiZ7WvGhNt9EE1XKXEiU9
x7iA0YTsXEKmZ5YzODOblaaZOO37QN9zhRIDjVKx6iA7iPt5MK7qSL5/mFk/JJORnSCfHNABu3gM
XOhZBadBQEtS+jBxeXG2/sQXbh6ckiDvyy7Z+RrtCXZfMjxptuPDPIibhYfhDqy0u880DxQicoUN
Df3JNFNzC2IErT+vWZJau0klVbo7iYroNLT9ja1M8mj1GVmnmUzHgtHhxlZVcvK8CST3YI8hqJdu
M8fQsMQw7EZ4MJ6QNyB8qg2H1MXsGS7jS7lD2SyDNk+vlUMnYegvCFrmh0bXsi+lzrzfUGASTdRT
etTUodfxhmwcM4OqQSNhQW+lbcCWgDyFYh8fb2EQHO6WBHjoYz9cc6ORrlGBIdbmS2bAPfJLA1dy
Q+GZQ+g1kva96bW9Dg1tM5jNkbRLk4rRO2ks0E40HV5QrUNNoCfNV4NN8saGVBf2cnA21jpOILcO
Ig47m51W58DUukV8U7rxmhZFxGiWPzs2o7cvF8bNWZZD4S6gUbZaKtjSqoo6Zf39Rk6xWazorKB+
5+N4jRki3Y4k+6R+cxePfNdCs3e6rM76bO6TgnjUyoeUkS4N4g7f206AQjgzen5DC6QmhB5A/OZd
URZ3sZ1YsJSpIECKnQkxI0+sFvvEzr6Iodn3WvuwZBgw2MhRb1PMlHp2afsGiTibpi0Qon1U1wen
bz+pHeLA5vIIIKzywGYs7y7eVDwWbZpf+fFwW/ITRbAH67OoGH9KPEKIcV4YEO1Gq4Y14H1MlcE8
vypOXTYi49CnvetYD/9WCD8qBJt7++8rBPZ0xHzOfy0S1pf9rkiwSD/RLQub4J9AF+ZPzu+Tsf9/
hbCmZWHrdF1I4z/L436rEPyf+P9okpji2Z5YDaP/YDPsCr6uP1YITHFwVLDd4198Kcx5fq+OIz4P
DZtqi9tSry1kQUbPGnFe5yJAnedVdDFNA6r43K2/scH7ulTU97DDHuhR2QW67zORd2Hdy0PDBlXV
hFZ1Hsdob7nXomMIoIFtoS1hlhFV/hDYco53Ru30sG0l4VNRth2GuNumUXXTzt13zYHGaPvjd+QR
VRjT7PY+enxoVucJdjUO0PSyopUaUdlBhSDkmqAdmvqIjyFD/a5VPO1N37wP0H2WIpv3wvDetUnf
xRhGOVTlwUULWLJF5HhYWR1q/DJ62lPezYjBMv3BtLtX6bGKwVfpcVCZzo1EW4cZDlcn6I0GMYt8
cwEk7FubxxinxB0W7ZsK+A7ZPMYDZqqVXJbcTQZyLWF/WF2xx5Tx1lrJ2TKI+mlAJ06eccYnyp/2
D4VoXnszOVZT74A1kq9V67z6oD5HNkmW+a31/W+N0d40S/JiV9O3zPKKwDDFwurcudX4YrkjxkMB
GWeTdhrBlyRo7Vj/PuBMv+5r7Xphq4zUDSzDbGB+t5VXHFO9hW2kA4YchXWr2SMixxV8Adfa3Ur6
vTR25B6ihrNTkqBC1QPqaacnp9VOFBgNVtDu5FVMOoRf3NSz5W+J8/aOTV0atIAjaQlpxci7Z8c+
5x6BWnETpIIwameIptDuDUGny0fd2Tg0cnyOPHeHZe/WEf2NqFBeapqv9g1ePFSHOGaz7GjYyAim
jmsOtRsjC9EcC42U7sbQoj0XfbQdCUAVrriO+VXwJ5v3VGvuncG+HaU4ytSdto6R7nE3PhWddfBX
V0S2OE8d0xNRyOeWyCZHGNo2W4xqw4CRiE4uiZ3XL6+w9WqI0Fg03fpF6yF25O34pPldjR4Av/OS
ayo0h+xh1ow5xE1MV6xXn0WrFSS21xdr9m8yizyvDtznxqvGq5540HDypurGHQvJs9J4xHUmpKXi
QoQBy4LebKa3LqrTQLT428yGUA8zS196fHN58mR2es47MHFDnrXAAha19SAr7UuspBuQKvVh0o1o
axI7yvzrYpVY44oUXAGmnTvI8HE4l2oJXKO4TtaB56wx+E/IftxOcjlGU/WWTSsdzxQPlnnS5s9M
EJGhyeYex2lozlPK4oPxFDEEZCN80oYgJXCtz2YRXyjKcUHm1zWeXYPVzMZutTh0QKhv5kLdx337
ltMMYCo/etVysnqQhw0yENZ/rHo91piNN38abfNVav15rLq7vNYuHT31DhV7sMCVhk2OilbAISFQ
14DLkIlNz7WIGaH7rNcpYU6JhRfUfUtU8xUJM9HdlZZtjGqiTRk9B+IWHQ1wbQ89i/XKqas2ztzQ
reTOt462b8OeKgk4kM+t1kxIBfp+Fy/DqYuo/I1G3jvx9JYmNnYdK0Pcodo8rCWb1daiyyqcAPQp
YM94euhsWC6MJcN8wguhsjWrtLQbHrqKR8Jz8IEmaVhN0XW1GqitPpq2riYfaJluqtp/8CPrYE4z
YKByzRWZcxiscF6lrnay8/LXZqQij8bhSqP1ZKG6Pth2+kIwVoeFfMx2HKsWdsr4fSorMEBWshvG
8sSBfj9b1XBQiFpoq3pKU/gx+HSDwYYSHwumt0NrUokRGRd55SmOHGubqfyqjYe7xMbHaaTMYxOz
pQtq9LCUOa8dhgcb4zWVcf+OlAS0fN0ASyqNGMy60mAoap+sAbkv4ibZYwG4Q4r+7pg82ypnzoW6
BF/7hA+KuWx5LTDpYstSr7rHqqkjBxD3KOZh0wCFwcSEASNntl2XYpcmotvhiHjHnPqC7dfajlG5
w0XLUJ1f+YbrrtmOJCZuOlqRne8b/EyHhI7PHA++tAoKaWRCZmVjfLWGp3gGGsaduO1WH3nCmo51
O11Grs283Tw3CxAt847Nh+Sq1pYR8Ed6mZk/osfBIC8FrZ6WOU92N+/XQbtd2bfETn9MLOUByaWv
joO/e2w03np9eaUjEiRze7lw/wNtx1wmdP3Y5XWDFN2AuOmJ6lXlaX5sMRHT4qsAFMiLNls3xOd8
H1W+86P0icteMApvoaQS6tgm8sZN1CNZrwdTY4DkAghBh40GaLbGQ8TE30VwuKkGa+RLIanQcN1v
0BK1oGhwWSA7X3Zz5d3rUaFCmiYLSuFUhqwhAJ/mfXQUzfzmaLwZungwdlnmYdqFCuRF2imR8o2C
OJAZXJ8prfeVqni9W99WGWg9gjFlSN/2rSYRedd3yRfca+4mVc6t6J3nynIoiPPpsEjzMxWjyxmr
g4jA+RJ6U4nt282hPjksNeC+8vZLdYz4yUwow6J/cdrhGtEXm9KaX2zD7iOIwTsHqTuPW0dL31iZ
XrKE3N4O6iSaI/YHAy5oq2v282L12960020vskOKcgDwMohn0SF4UAZEyCptGOD63vdYahN4MDIS
UVwJNqDDEFSgbisiVjhVnZfCk2DjZUQYmdIe6UufGp92tExoE8b8qm+BP8vew+/cVkCJrPihc1hd
RHlHpw/GqRD+k1X2tzLHMIPKZgwLkJqA7XiezKHbTZIOAenTUaNy4oFMxXY02vdaFivdgse+gYbc
spd1xLhFzP4xokrRaufTEdqjZnpcAgVClMzPPt1V4GLkxrdhbs4+NzkzIvtbC6wKYxN54lI/RaVZ
otQboHQ42YssinZL+oWx9XoGEFqxk9G78OQVhQHAIIvBtN6np9pudAjLaXptJKQBKybs6Ei+SPJQ
N8WYPuoNej8QEfdu4bPLZvxkweScVtyZEy9YteqqDFWHNRT9EVKlTPHtWIr0jrGxwqqyzp6qbj1v
Rn3kslfiuft0DEBMvGdofDJzJ4YeDOA6IGh0phOE3/BeuJhO0q2x0c0GWdaDk/A7stlzUl5OnNNN
eZmsptw1jnXSve5bWjAwJ336RU0/JgfiaQERPc35o8FiMBhbjlRXvA8DWw5vLOEldi7plHl/VbfN
rhQTFtMZ8iBayYp3bfrhUxvHA3Z7VnIfSwHwlKX9ulU5Gkb5SkJZ0LnpUz0g52mp8tyMo489J94L
HwwUYme+yN7di6n5xHGgOIMn2BbUfAQVbJM8fSWW9RhBO4qz8i3ysve0628sS2El6PRAFtMO4CQ3
pakOs3Lvp5gYG5uxfqSqh6n1D7XlH31bC4D/wosyt3Oiz0AtiA0DPwdM7arBFtYnNWRfMRinNoUE
qaRrZHd5uTivc5U43rXS7IH/YXf1ACwVvY9da6d/e9AfPajBhv3ve9Drt/rtrw3o+prfNaD4Ry3b
QgaDR57s5d+m1NhE2csjs9UFqcy/Vyd7P8E9NEw8XT7+yB8Wg9+m1MCHfD6CG5Scvn/WgzIN/3MP
Ss6fSToWnmvkAVhM/9iDNtzHlj0Yy01dY3vUjY6LHqkefvP5SU/VPoq9bxb4kiCq+3fRR18TB7YV
DqJza0c5lZT25A8qEPZ8sReS9+yOXEoOTvaCyY2T5Ls58m4BPvA06L0RqlHss8m/jKZ9VRXV3pP+
AWI9OmUaTc9BiNLIFaDmjA+Oja2nM/UPzSnP1IZobwdLXty1SdXqLCKb2Q5ng/2QQgtc0MIJeyQ+
2PCeGdzetkZ+YwO33/RNCRuAkPvnzJn30YRGcbb9O0SWD3LM4LKynZztlOinvBLB3FkfYyXTy7L0
NRJ1Pg8s9f2iNURA97QJjn4otIz4qUlvAhQ5cdj51DyI+epTT5xcaNSYb3vD9YMsVpwBNsmA+bvs
k2DVL23qgRAphYF9W1npnij5aecKvHFjdmjWRaHsfABBcdBYuX405upsCo44HQR2hHJx6zW4ZaPM
vRqzit3a6DwoPXF2s9d0W60c+C78xrrxcudYjmzgSO5yqP3t/IhG/drJzK1Zlt227aKvrfQeU/rX
Y6KZB2uOPoQloIJYE5ZQB2wH5BpKdSbb0IsPVRy1G9y64nH2fErNyT4WJVR1S9b3up4fJjQp2xhm
P6Vlq7YwNKOjMw40mSKjK0l92gb0H4jMZwa3rD7pJb81esngWunDttMW495XukeYVxbGNtBoDX9L
oHW6oFBeVyBw+AuigKPy6KwbEulxlY6alx1r1ifTukcZLDYq3DnpvqN6VAfSqStAWQwYTth/v0ut
YqhKc3daauSLet4cGyUfW+GwxO6Mg6WR1gYEC75gb4eDB/B+KCtw4M0KiPqswKBsrGU8i2l4rVsm
0mgGnnsDrXfCGmo7RPXr0HoCb/Ry1ZcTImyxdlHp3dJ5w7YCS9qN9oWdOY+E9tyNutjSRwOMYqbr
SOvGBWjUkyNpJ6gnWiurNn7W7hG2XOUOcxXhd1+XOroZRPaEkBpekh0dpaEQEswQk1NdJWGTVu0u
ics3X2QXqiLgXzIO8Wheytw/dGtaI5Hp34EKPlXaTGymJqHTGeK7mdTPA3nVmoTA2eA8ehsam7JQ
+8LcmVam8y4mqIqtPjvZnZNZX7lKzq3ufkfGfJ7t+nrRWV6jrqbDs28m+NWXsinYHpG/QUDU2QQ+
1DSQKwD035MItYrfZ0bMj5kWWrN3rhPm9kPaElyGtrystcdkcElRzvI7L3E19AUNCB+YOU4fIQrA
e2hH1ZbmKjDHKCho3TTNOQAr51aPUkWEQutv2a7DP/IvjN6P7CBuEga8PfDuxhjb88A0ap8Vy1ff
oYDraEoALygQlYQ+pxKwlrrqx+Xo18k7GmuxiXSyTorR39RJ+tDl9rvfxIrMbGyZpXKfYR6WW72I
eIipXDZm3IWF4ixkmUTmW1sac3H9743748ZFnfZfbtyrt7b9+E/evd/duYjkfERnDuGyBvfqn+jG
WHvw9ABsMNGm/ubdY+7LRAGzK+I6BHYI5X4/93WFi95uXQ+jdv1njqAfIr0/zn1thHoWidQGRyrG
pHVz/DvCzdD7k4ZCdbyZR7N1w3iI0hQ1PIRyOScx6PTo3C2ZNMM5HYbsWe910C1YDpPuWC8JQLiB
i/Kqnf1xCdPJ6BaiDeuyWtGfpmN/WwmllJR0/EtI381iCwfzYXJ06X/6otC7h7ltKYe7BIgxmrdl
8YO8rkbOQbzT2OOUIw1K/iYbkaQvlW7RCffcd2FhUBmHGKog16yweXy0mb6nP2NU0QzSsp9yncjG
HTFtRyyGrJlKx+oOtTbMh8mc+/RzXFGw8gcVVsq06MI1bPgQr9hYLfIAyK4oWR/ThwZYcx5CLcd7
PazQWT+mKhEFADeEsvb7sBJulxVT2/0g1tpKWnsbiq0zatgUSu+T/TaoskISjlvzMdLWQdUMgHCR
8I3nWJJl4K2rNJkUxgZ0Bdq9FaIrVpyu8YOsW6yQ3Uagb+lXIoY+g+D1Govt84rl1VdAr7OieusV
2mutAq980v29V5cfmbvYe3OF/IK9sfZMNpNQ/EAAS1Ttlt3nt5mgs2SwAsOEkU+BgC70Voyw9MyP
eAULowfmbbHyUgtpERZVAeOD0fdO7SMPzpL3W3aqzIia5tMdowh4PItxFz9SG4wr2DjvDFqUqmhP
/oo9NrQ4xUPB0E+uUOQMOnKyYpJRSnAdr+hkf4UojytOuV3xdQRaEdCxwpbHHuZzuQBgRtHzmq9I
ZrnCmZsV08ycBeqwy8XBpaDQA4Fzhtin7uQPxPMKe3bpVDbLrCvyF1YYNAZoTFQ/ANFDRcyOBTR6
0t0eYhgpd9GKlOZ6BoMbpcXh32Pz52MTB+PfNypXVfs//1vKj/yj/Wu/ovPSX/oVgsGBoTKM5ZT8
K1HCR1tMK2NytKKi+U1VY/3E/gpeO8ss9C6rdOZXVY3xwxLNsWoT8QVT4h9pj9du5A8kHAzUYhX7
uEjYyIn6U7eSgoumrffT674IF9ulXNhb6uV3P5jbn/+2/yn74rZiUt3+3/9jeHwjf/ksdFeE29sW
3B+bH8/vz2cVIcaxFzu97qo0yRFPijLeYAP0tpFpZGFqtg0QAEO/cqVXkmESp9t8ic4DopN7Ucd3
eUL+ph0nV6MQKGao3Qn5ZBOX64nYChkfR6M49gN+qIEOv9evxDLetbNxUUt1nhrzBjf3SaSUL8XA
CBatrr9z1+MlQqC7JmZ/15lib5yMQUHaZYwS8/4Th1mD6tOBFdYAnfJRQMyolQmunIE4OqdRW4p9
NE5u0GktXDXfYBzYL9waWVdCEDKs58j03b2b2+ZXoyCsTjMF63eRxU4Y96pGIj2r7KWqdOKTPFLV
DtInHOmomyReoCfwrp25nVlwk+8Eg8uLIZCbtek9L4ZyglwZ+b7R8Ort9WqEaL+tdS5dxTCi6OaI
jhJ7q6cM7cLfXweryDPTpv5caeXeY8ceUPmx9Vot7o3rJQczt7JTD9rBu+XzteZXe5awxGmYhopr
1GRH0tjTbazjtVJy9tE3Ou5pQBDwZe3XXwY3xjGfzwBrurK32IIgmtkahk1J7nEjYzMdW/+pqnCs
OfjFQ8LhrMCop3ibA6FnyCLn42DYDDj7ng0QP/MrZuXtW4u8appJw5jZMm58lRw1A5ImjAG8IuQJ
3y8DSgcx5yEp7f49uAvq3JTINW9m1VXVBRiSzAqGSsfLn7x4hc1SYSmGwFHJEuLcM9gToOaY8ik5
OcQMhy5CkX3X5fq2ZE0BZHIwgOyrdu+Yw2G0Shc/rtHeSaQd3DDFJSnzC+FL5a5okjurso9e3KN9
d/IDT0wWSFPctv740Onu8CQBlH5WjMLbNAuccXI+q6QP7KINskjpj0Lrd6hBCfitstBn9ph56DQm
9CqtU39v2+6jTJqPOZ2fsaQEjTmc/KnYcYCAl1r21iQuszegce4OIBOuFsakshneUbEj3NJ2+ahz
/5BS1s/fILNxb32LRK8Ho5Ob3OLEkGb28MV2kvd8cayQIXR7QrMDRndcrozCOJrSuDh1j+Az+1Lz
68N9h5LDc9GZOjviZQ8Qf78QmhDKgvxnJdTGJPdtA6tfYLeGJ6fPSEBc95bv8d4mpDWYkkWi0IrI
bxpEcokth8SayLjr8rK9jKo7S2PizbyqhBXbtCzibvSK+ezzEIkKCL3fBBOJcV5t4jiuXrSlw2rt
PvSGvCtVfeXy34PhXxX9cBf76MOMOjQi9LJSThvW17CW47FG0E/zLxtxnWnZ1yrTv9aof5M2w6/q
ndD/3+FDxjlMylueX2yL0Xqu5vPiutRiFAke0W0qcw+9D1W2QYsUT+wFl5GN8jIf1VKWJ8IHvxcz
Bk4txkk4S2TQ9mRme+XX+6jVtftl1tTuv5+8BIP+9eQ1BE4VZi7Mvfj3H0/eeNbhAgPkv65UZoRD
7s+hi5U9KIgFvOoKcwzcgSQ24NRUTcuHXqv2TqlMPHqLh9Jhmu771SkwRUHmuy9i6ghxcD7LLJUB
avomJPqapPJZ7KqF93QeQf6P7HY7UpDCfIUa5HrdgbikdyIk+22Sts8G9LUQGztJxYKWPC+3o9q2
01GvMzRpUbnX02ZvgLHOARW3hft9zouH3k1PAJ7PS/v/2DuTJbmRLMv+SkntEY1BoQBKumphBpvN
zXyeNhB3pxPzPOPr+4BMZrkzGIzOfYqEhEQIaTOg+vS9e89N9mUL2q/Ij3atO3QARtJxxnCrD0j9
a5KepUfMTkAnyKfX59ZqfS3Glk59IPdqgOiYjrt69BqmKlE13EVhJxaObEuuBf0swiljCCHhrYXx
RVegx6ijXdybG7Of3a4QjL0sdhiTzV5iAL7gZVamXxwTn9Q2K9PPYdIfiJPZsq8Re10gZM7Hes1g
5RxHyTUEUYRnWZe4kjSTpTEfg6vqkllj56Y0yqn/ojsxCnBnQ0jPwWJ6M1tkuEBtZI9xXM6pdRut
QM8itCea925qYGNxxLZnHTLq/EvuWEe1xJXjO8oXTyOPpNDnSRxwItDK2k4p5rWsOYaWfNRVskRU
+LHkaj2Nqa4to3qMYUf5Z2MyNRc46BxKytiT4Lv2PmeieMAFV10kVLK731+qszTnp0JECgvbI4kf
hk0qzucLNQLVidg7JUCOvp4R7Sv9H0j/t+G//Pf8F2XIZ7sjT0lQCQIXG9vEbLCc2TQfixBDAvaz
HR9asowWijyHbbgNi+uqx2teJctQYoaOVr//VBxAP32uP7/qT5KktoibQhiKcoGv6AYm4Ux1yG7Y
FR853WHdYjrC/Nd8kJ6xAyqPgGiAwplkOCJUBkvLrJoec8U6ho1Ql4yy1onTa692ICw3VaM7SQuF
SSQ49EQ8YZ8Y9lpiyJarKctX7WRlK7tQSlcrOnvJSHTctYNlvOZZRMwOZ71VGIZvCdfqqlRl4LIC
j25Df33JkfqmFcmEvDO+Q6+o71LfuAzQNCEF3LIp3dZVtZZ1Xy90M9oamK2RF1OhJH2WMWps1WVJ
iqFb9SZHqHC41oMMP0PYQRf0aaA644GL/mtZI3TABbarhLJFDHw7TNGDUOO92eTIZGduaOgZSJka
pFiyNXfxFB2Q67jZ6OmukagqG0zMKqs+dCpalDBKL+xg2GRVv+q8iStYXcWNny4DztZ5lNowCSLb
rRLvopidCqa11XIMVrY/3EDRoYCjU9Y2dJVJ6VGXk9VsiBKijd/mL9IvLyo1vSqB+1TN0Cxqbd+Z
ncLx2dhaSErdQtPusjHYDh7xl13VngrJHkn2xY5z3btdqpjNQntRmmLjF+Jo9cnyby63v7vG50L8
QyME04bF6IGrLTpmlyjS1uWhvO83087cyqPN1rN80/sF0tSL7Lk//P7Fadp8vIV/XOrMURCR6KCa
5jf34cWh+9hZzHz0onDJmjnqy2KN81w7KA/WWl2pd2dleXzoVjQluxf+lZzGo7rYh2vvZDAy/Zt3
83nj+/5mDCIlTDCjHKPMn3hOo9qjbNai4BSol2CKF6H6UHXfj75/uaJ8XrP+/BqzHPHDB56qtFWC
AKBFXr771dYZr37/jf7yM1g4Hay5j0aL6/PzI2bExhSWbN7KZelwP5jUnN9XqP/z6UPU31SVbznZ
daEfND/97//c5in//N/5Mf/8O58f8T+b9/z0kr7XP/+lT4/hef/xuu5L8/LpfwjpQ1p61b5X4/V7
jVznh85z/pv/v3/4H+/fnuV2LN7/+z9fvqSgTcO6qcK3hm/m+5/tvvz3f37nlRnsIH99fAeG9B/7
/KVsw1+0PueH/ji+wyYDggSylrkid8+8L/3TFKNhfZEcnhkqWmhiud5/mGKId6eHgJGXSSTH3o+t
Twt7PzfItycjj838VxSvNBA+3XNgyyjrHOz7tFEZRVrip8sc7nc6DGKszqPSSdy7OlZVGuiZHTHV
CbJzKORFGFjBSZoIsTksXpUjBczkq9eGJ67jqn3P1QL12BDs6I0eAktbd0RYxLq+VLppn2QYYzLN
nXTg9Z0YXuESHdWEob3Rpidd2GvPt5BOKet8VK5YQe+sMXswoe7YXvlu0+qqmEElY7aLcWkGijKH
/Bg70w7uKyQrGGGvxjg5tWRI4mA4DaSGUI4NR2lPm1lg0Yf+nYkoQuETrZKqf3XC5sIjxqqpjGei
Ojdd0+wzTzLXBA8rypMXBCcnJx1rQh0WFKcW34qRs3IP+gOohm2gYbAZRyRMkJ60iFtLW7HZgaCZ
3EDtngBtXwZBe+H347KjGSh6VPGJPFWcG0Cz1pWjr9KoR6/Qtmgb7Be6dbiVxQNJpDuldpCZ1Xji
JoKKIpeSeiGLivYwYiRvCM/zhhMjoNAiBFR1up3G+jq1m9dMH06KnZ0Crzx2Mt2aiPcxaWzbktGg
X3wFcIJHFvOw53AGE9dWgGCflLttY2XkTiXgLVtLoaHKeu/FL0Yurp2ClO4QglzSWudWaY6+PkN/
ul1FjVtbynXkUHSr3j30qztMMyDaQP+g7yMUYdZweGq5tNLyIrSTOVW1HK6SEcAL+ocXq3OqTVEO
NGbNFnFt8QCoJFiQQf9K3jQlblX5arn63k/3aruKthFwqh17ehWdxTRBeYiEzIxNV2XMqbSeX3+o
d8Rsq6ipaOyAd7yO86bYE77aLWvkhYhrgT8N5kSUNdmwNIZpaJBYq7ueMUXXuqZvYqhNjMv9bZRp
9QyOsEGPa9OSqOVpidUKEVaBCKmxVSRQVi+g/2SmW8vxJhRjCU2LOZNn4HqdWkSwuI+Jx/PrOwbB
FBGypcWT6FehTTNlou9uohh3lBns673R06DbIM6Tbq5FFcNVitHN0Q8WiffOEO+CsKsHpedxF1Xb
dCv+LmKnoiVxTvrkl+dXeo6pGbGYyzS7WXgQD5cTsj2KB/HqY99fqGjtFkVdtm4tnBPtX4DSQ/TF
UdhiO0GOBMLz0o11+90vnOds1O/AJr7z/mka5Wq9HEdO6kZBjRSk1EJ43ZAkxMjjO4KAiqRyyRU+
d0G6p6C8F8P4tbVU/CP2HusttmKlXbGz3IeTviKQuTyNXl+uOUOSo9cq8iJPvBu8QYTdMmJd6d/A
9AJtWa9lj3008S2X5Crnc3DN0FcuraJsHcXDzlOSTaQ64RL1FZmPDGGTZjgD3X5F0Pc6iI5NbwA6
NVmScNjO5JEJk+oKTVipr+0CG1hp6Bsv1x+bkpkGyxSzfibwiMwWrQwfR9/gyRXxFnpl6koHH3bb
vCoIv+j5cMzzVLfMvAcwrhihmcNPOpWriGdpgqLPsrkW5HNxG/Qk56jRDJnDWE4spPdI8TmTzTyL
68tYI9sgxMTpuUXDGKFczm2Jc4d5hGF8TVV9AKTkc3DE1RKizyP2r9yF4SR5b92+sOvzkGI8pG6m
uWGAqELy3XT3marum56jdKLQfwwJ4VnAmj3GgXrT+83BzIJbbbRwC0co7auIg5zoDVcOyjFk8L3I
xviuCgS5OSlh9ZgesFgH6KbWiGv9YKnk3qwHp85Voi7YCaxepPUhZVQxG6oT58Ix4/SZ1WmOVRIt
VDxeFSkSTEsbkqsw57D9bQv+dy2iUSr/dS1y8fLl/VdMxvlRP8oQJrAUszhaNJ1cWHywH8oQ9Q9o
9swR6B7rZLzyRz/KEOsPxEgOqR8ce0H9fCxD5B9IpTHe8ABDoyX/L3lzhZxL3Y/Hd/gltmVBK4L6
D31gfhMfS2G0JWOtN5p/9pyU1jpa9aYGvp4QtG40yUMRKwgCG8ediGK35kz2LPVpI7SzGpjsrA6+
hmNySuth6FvJYQCkv5hwx2RwrF0Nef98dmQls9FHEgjPkkFeReg4KxEWb1qLo6Cx21ODnqjTuidJ
rLyGW92cc+ZZt56lk7gKjcx72grqNqOT5Ke9t7S8WRrcaPm6Jbo+D0Gh+Jr+BL4rc8uQKS1CcWZ/
ihTrofG+dn39DqaVZGkctSs7h15Ix/cmjwM4kNnLpPb3iEASChgffYpJdzlGZWRKxXRbkq0XhRNA
QrDyV9uM3gKrOqWmKlkm+IhtRfpqXWiXxI25UeJfoFA+YJ6AG1SZxIyE+qUZRZdqZpAqFSYNOBL0
uwmdjo0URbfo6v6NmHpA1lobLuKAlNgpMGEiqdFt142X8JAwOKnkCdQGzvw+dW7qFKFHql0BtqiA
agjAk850CBJnHzQDnJZABVMQkFbZdDtfKxBx5hQdsIsAM7QmMJGwhhYRqNNdHefQ0HITHA3iToy5
jbGHsxutnXj4wqh63PtdACAxU3FrppG9MZAQ4SswjrLUdqWwC8yCnnc1Khnq97Jx1qPPyd5JCGzy
lVAuszYLrnIJi7HCBh1aNNTK5xHc7Kb2jXkyH9Ao9y12z0KsLchKAHKZkMvMWzd+Oa2QnUNN9NM3
9vh0qVn0kGF4p6sk46A+pN4zBIqd9KviIowLYs19YyRJNUR7jyJLnYjn9TQQoJms97peXtOEDnCZ
EI4WDSYXZAtDS60B41SoUpZ+O721lQptsm5Z8RWRkFuVOfAPcmsbRjowktG+wP7ruPYg36uig/fo
aCdCxbKl0XAp018eXL9D61f4zMg0Rd4QG/zcWXFE7h6zptq2km1TD8my9vsbZfTqnUcHGiAmeXEp
OC4c7Lh6247L2LEuPRXRWSkSsSVA5smJ9Fc6rxtLGZqVPtQXCiQgvmebzL0+c6egfB0dMTMqLNiR
We3IK5zcDXrhifkee8xMmxgquBNG/w5I9GHwuef12M4Z5KCQGxHgjTO1AhfQUz9zLDybytKb2Rbg
wO8Hev90abGKDji87JmEkc9MjBg4hp1DyejBZTCuInBjJmhoM0sDVkeJIB2+BsnvtxPAjUoWGI4g
cLR59jUEyaEbwS7T7UNnkyABsmPC2qfTxA+U4EKdmR75yICdaGL0AZW4VnOMdtrMACkxh9kzFYTG
9C7/xgmJeeOOv60BiCBW+CoBirD5zUsTymwvHfeIvV70ueFUarNcEg8Xxp9O7kOixOzBH7x2GVlN
8wCKpmPzDAoBxEep8hujb+t72uo9UxKdLHqp1l21NULbfPbj3Nw3dZH4l4mf+PauKRXx7PlS9y4i
E8BB6sSN2zreg8aUZGUOGD2InUjA7IhoKzAfrCi1kmXPdbcySSZDqKk+taLdToSNLBhZbgM5eRgL
sdVyrsJKkXtX9jSdh6wlVS6lSgaqcJlIn5YfJ2I0+SHLU5zoq9aPvvqVdVVBuN0qvbkeYVxvE45u
SwsII/MmZhvdfWnm+CrmAaMHN9oh6LFUp0sHp2Abj+ayKNQXbWAdxw5H+EB6rfVasmwar54hmSHX
mnceY1Vfjk0Mb9aPhkWGciXeZTlN69rIXkjxDPCiteS6yfAYxtGrbvesBtSKgGqyciwWk21uPCG4
DxPEJpYS31IxoeN003g7ezmzCaooasjOPvuaiWtojL5KI9hPaUNzH/gkTrSVRvNoodkQ5JOuxEyS
9jfpZAxu4LH6VWnqAyoqCENEKIjcL4SqDXl7FDgjO1Vbpj0aDF2W12FkogSqrKOHyTOv1XBZ9rDw
8GLeloF+EgEQIdNX1mZV1UvHyhDU0ulOy5OCLHOZq/Ihsru3qJfBph+SQ18M+YL+8MErpgdcj+hD
wvNo5ulSb+S+8KhM26hYh466K2r7GWUBSCcVv4tUcg3wr3bMjNBYEkRJaQjNkjEZaCXoWLp4l5zp
1v3EYmvAOo1ShErAHMBIjQNmgWovGhvsVQg7OKysnQPGbOFAkYi7ibFyeEPkF80Wa6cTQh4TKNXl
yn08Z36qJGVVbd6w3HTrVPPfI8fZmn2+yxX+1Cvsr3jgvhS1dkj1YPPvevK7NIVW0+/qSYzcf26I
zXL4H+XkN9QL7Q4GLkhTvinl/9nVAvWCUJ6YWwc4B9DK/y0n6WrpKgAYATNy1ox8EPRZf8yUfuB6
BtMVgdDjX2lrwW35uZy0bPTzKPbF/C54ws/lJGQo4ocVdTobaXBfGtQ7CWOTRVaUzDKmdG2XcqNx
EZkj1LPBuQfrhoa+HbjLHXkb2eLCyJtdGkWrsrO92rWsFMBFyKT3LskdwlB09cpXsmrXsBA6bpZE
yqsOVQB9nWZ0wcECfU0meqZ68GataFs37HlpG7VXKsQIN2/lTR/Pc4NuPDsmSSlDZrhFgEmmHPLb
cVTuczO7w3PXLlSdNVmtqC+U8RyE9l6zDHcM6rdqwrocZ/3Cj9TrItIvWRbu9a4mRRiR/sJr5glk
FVM3ZF9HCOOEumlrT0C80CFtUdsO56bSXvDODa5Jz84lJ+lL2aeT26iM053BXvlqA+wqDwC+AQUk
ukMR467HBreErXHQaAwZHHVbLThMrbVEH27BBgmY1+vdoeqKh0B1nhRh5eg6jKuYnODGTO/jEB5h
FU13TdWvu1YrTpo3+7fyrzq+xa4Kr512rkiN9Ihfa6el431ctwcl776qFSWpqoxgrQ2Dk3WI41xR
4mZhAJcua6VYGoFcKmNOV0dnWmIyUjjr6BZRuZWMxpoes1BOSu+c4pfjAF+kaBVXdhzT5RkKDRi6
9RaM/j4zwMEgXMYgO6DisHVWLGPbttXZSwiAMphzYQGvygI9pWzTTWMmHCjMJN0ZTbWsa/OiGYDB
GTlt0CDr1kL1XmP6GXEyKAvRUvhlw4svc6CE7EV54iAMIGq5x/lEroPyosJJX1Zdw9qKQ0AD6EMY
mH2BBIzmj1q3a70N5DHpDfI9s+omqJGZ6E0KoEP3586OE7lT1c6x59OyluDXks5CLZ1qG+bG2EG5
/k8toihLETulrO8Ri23VVr/vO7y6flCrblPrGnMVPToiZKW8IyMGG0BK+m0XKYtsiMTSgHqwGTVN
PRWDQWdLn+vTuNs4omAW5+/TGEDZUOovjFhMUDBjeMb50i8dcnZGG8J8AzsdDWdCVGv2Otb5Wu/C
x9wnq9FpQIUF/J4RrWLsWXIRDun31f3T4OKjrOyn6YipovUlAYC5CERcQkJ+OnIWBvHe9EW0c5IS
fvsFh+/fDqV/8RIOp22oWKyRKkKKz8vQWPhDHdHcPcf1axtfjsVt5hz/vUd926PmSfjv9yjgji9/
3qbmx/3Ypuh6GCpkMYTl4h8Tln9uU+ofhmMa37eveYzyoekB0FgjvuIfmVtcFz+sXhaKdIMtDQ2i
ENbcKvkxhvqHfuD7ZOzXegLijX/epRgBIiugKwPRfL5CPl8eUaXEujXpwTlVwe9cBFinngdNDeyd
ifPIv8yplPdTW8pnGYieAaGSwZzqB6V/qiarvncCkd84TmhOS4JC+3xtZFbzUButxvmBJsRKBrio
RKjcDzqLDxADsUx0+PD6IHGGZpvW185tJ2/9ZHzp/elFD+joMWyXtZ2uyFfa6AnBBfrIuV2L5Wro
PPJCqz2Tbuj1NTwnxGE1lu7xJS7ps5c9gCmEUzWjbdxjIxKgJQiYdZLhrlZm6KvZOjvhV9DUe29b
pPJadOZ1GkrNjQ2UOt5wgmDpu07HvpSVN4WhP5PHYEB+Za8AM9ouEMITJR066RJdIWodYeJBsY6d
XT/qKdGEMkuOeLQPbQAKsvR02xU1xhVR4XdP+wJi5BRfd2VxV4qpuDAqDFoEWWh4bDjjVrhZIRfO
lKkEfEBjIC4cMPAfMyTYk1U8YkZnnKCphduq1ftUVyNDnQECfN1ukzraYPHdapyyYFpGHGScpRAg
52mirSlhMdpGfAdE5GCD72xzG2b8l+iGdpE5+X0WxF8op69sEbh0pt+0OLiVOWafponE0cNcBA3r
KizmCF3TCpYQ6TxM0vLoz8zoPBHXgZS3ogKSyZjoi8yzw4TsshhtZG+qzcklsyzcbnm0yP3hwGhj
2ag9OLI82yQhhm1dtLAZtA5CVXYfyRqVEbnea05cK1k0N4xmGLj1VAGBaq9FaXWndm7mWGNtN3DH
dk0s03vkkYNbxe3V1LGXmUYAXYY5RamAcozG9q4ao1ev69ETBPTGTUC2BP0+MO98tDx/qVOQAPFF
sjS/DbW7VkYywLzpnOBZp4mFlx/P95ifYHscEye+nEaJAZL+QRaDpa2IDFkIjrk7tRgPoHCQD5jR
MdeJVZmDTQLFflCgEi8aE5i/Fg3eUqnCddzHJ7NIz4ZTHYQjL7uaXkYzo9p8SwC9LZ9JsXUDU4eS
kjCAzK190cnzGPYG+z+liYMErispHr361o6sV6kMF5Vs33Uvva0ba6dZ8hh1sbZTAws8eOIAGc35
HVDTf0mYXp1JEAGXPiSgrTJ55sPLRdMHj2UFW1BT07PuaZfIPtalE7+CCVraUAKAFkDASo30smlz
m6MZZWfaZA+BZNTPtqkvFDVLDkrSFkszgCrqMaRmJJe+4E2IVxB+rrTae0yUfFxi0cFrggzMsadj
kjUXrRbTjRFPvUxfqCb3k8mL9kBMi9BNGCIGRXOuE3UjDDAcBZmgoZfAUwUQkwkbvASUWKHPiXwa
pEAz2DM1MQ6hVmVX9RB79X7otFngmHWLVDcmMuxKFKeR/dCmJDD4eapx9Eftty4TtdnQskLRluXE
Qg1CvxxGsUfXoJ0Cbqwlv7l5ziwqE7Mjc4tey/AwlZl/XWGDPEQCsG/DV7DqEyXZapDYgEVTQi98
6D5MPmQTbBvFwMWCwijB46JqayUi8OXf2/S3bXpWDPz1Nv09M2rxUr3+OjXq814NJhArA/4rJBEq
R7oPe7W0ODkCB4WlrgnOjT8mFOYfGrJUfAxydmCrAnnFj82aOGCJ7tompEBwIhX/Ur7bZ6nOHO82
h8uhugDqjNvWmA+cH6Q6RkAkRjOm4hRA/apPw/D04Wv5hbhQ/DmVygEUz/iDaYruEM8wT0g+vELr
1aLxzKE9tZO5Yh7+dSzEKfGia7NqvnJQA6JXhW4qDE6wSrbDzrytymjVWoRDSkXmm7w3NplVbZUa
iHobrEVdfFFwOCBxPjI3HPAYx/1iCpKz1mlmjAG7KY2zn9Y0m+amms+XyEJRpuPaANTNRqiau4Gj
BbNqFc5fGkjM2KEFWClMvuAeAP85aclK1OCoKtVXHiOSalwnFm9tgKi80cDICyzXBxCj2KA1+0yv
TyHmqnp0Ksx0dA+YIQvRX0ZDry0MPW/WWkWhMlbZgXPgMyKSI5JHVod0PPassNsky7fYpSe38spb
z0w2xhQi2PMNnGfZs6L2xJCK4WsaK2fwyvBkaEquW2G7zBRurAhYk0qMTek8x6qyzYp238CdgPA6
Xg0xOm0YLgt/qlzMZvvSsl48jVKAkQTGCsVt4/Clqb2UCYxYAGncEhV8ViYenvU09vSnOvZZ5yxy
Mc2jyErTrfTuImF1kxy3qwIAEkQJ8ITOfUSfl65qcll5HAHrKTg0ofqEYKBZjkq0F4q4xT2A620C
y2NM4iaEabwM6iFYtXa4GxMULWZkmmwgcqOWIaQaGT+3AkSsiq8XR8sCq023Zky+H0icckT3IHJj
SeT9SdbyqW6mcxxSMKSAyVsv3ViiuwC+uMvHnnTV6CHo6IekTr/FH3HE4nEjtZyRXJQ86Fl9r3kW
etN2nVdyb0/mWhmqZ2yFGBQbB9J4/ZTz4RllDBtlnL7EFKIEKy0rz3SNeDgWiLspMfxiIUZIG41d
A2e3KGWk9cxdwNAkevI9j3qVrslaaVsum/LrmEdbG7W0MIrnuS+tKOpNTSsaRX/k0sJZqmbyOsXe
VZySicMZ/kgGYAx8mia5UCzibHDxF/DV/NCHWZOmr44GrEfBDbiyJ8sEJAmrJISW7yqFBppP3kSO
eGyLGpW2Tu2QFPPdE/U3qhYdlJburV4iJDUhvcyY1evBph5ugesfsFODZZNGvXISGhk6USGrviac
odHlKjTlvcoQzHVKz36FedetAhqp9GULQoPAC3X0XtJRQXiDtjw8DVVIrClCUBepRgvtrPAh5pF5
FSV54AqmgAh0FHXVTKJeZI0XX+e21BsgruqhkIQQBKO+aMrq0CCMKERR77IWeQ4eISoLvay3UK2i
lR+2R+yoNMnjAgU9VklvmEiZG4BlIuMtVnlT5pgNw+RsJWpCbaDUVHh8Ys8r3sxpvK8848WKyy3r
20VEX3rpMHV1x0Q5euhqZvWNuYilOVD95OkNjS2orZrlJQ9tnF33XdVj9ZEI6KmPdchnkYDzq7Xg
T7MDYyQWRI03bfVXWQvxpuBAwhq190tvC6llJuZS1zdH2nBkRjGvSdSHmAOJ0ar73vGSTTbEzyLy
zEUdzqNPTx60Br+BJ0LrtehRakxTWaNVp/11G2spfanQ2BgWBwxjQucb2FOMMCOsLiY7Phl6sY2d
+korJfPSul4MaQtlsDddlrydzuELzLmsdsnY3Um47iS1L1sSLhK3rnAHjfBoHdacdt+rMn/ORKOw
/ipomUlEH1siCXk5lM8FfQPy9KoRkKDVbcHTdZsMsdWGpT948EpeQW+T2wzQBtG+qrNvxyraQ9E4
ZUjYlwmn4l1LMBQFvnULIBfBjogEcV56XTJr8Ly1GZe30htv7cycHicvCyn54BWYHAsXVj+smxEh
R6F22QajGdM5HrioOrN9rMLEXg/2CMsN4A75XyJotgI11CLui7VBre2Oaf4kuwLoBeofa1y1dX5W
R2sfl+OdGkSrLiSrIi+CuzbRb+22dPBoDR1d/ahycy8ZZzRSvyhU9cmA6e0agygfW1lobpFT6sGq
jK/JiaAj6RmP+gA60tPNATAhZ66oVcfV77fnnxo5s/bflhqlhmOZjCUkTe2Pm7OeptKw/Sg7NTHj
1QE9tOyv+qpe//5l9F+/Dn11c5ZB/7kIaCwonX6QnVJsQrXU71iVLunbPbNcVot+dPgBxmTbDQU9
vHhb68ERcxkHzOzASnU0YYJEHCEDr72WpboyAvoAgDoz33un54wgh1tATBgDVZ/Wyj/rul8UML98
5+g3oLTSvgcK+fkbMtM2Dxsnzk6gGxf+eKtGiObz782uv2zZfTPi/69MhHaJYzk0SzC28g2ZXOif
X4UUlIJM6rY7FTQpMWGInYEbfqF6JftG15kE1nSPoJDzqwxf18ggq7d7gKkjiBbPYLAbpetAmdqr
NjCcm4xdqc27E+qThLsEy4RJhtPCzP1TCAp88FBb9Tr3jUxpHI+OOV2bWvISNwmwEj/cTD2HqlrD
jUn3F5+A8aZU+hrbZ7tkVZKw5BxtmZfGJgqqmAwZNBBjILFz6e/g0l8Ga465ogk9WMnFOBFUaFmj
gqKljy7UoIDJPDAB9TVUfYEDME4L/Xuv1dLbsjfZPzTy/dLCXGPsa7ZSw7CQs8VpwEvGyIpXhaqf
0drgkJvgA2lGcvTUlxainGntWBefbCUh+aHXtmMknhIDfFxWZLh9gA4Y0A0mQekxcJu5lo/ydlDS
bdVgG0q1Yc/B/AVgY/BGHuFGlQjjrCS40POZSFuXa+xI6BaIvEulTHBjMgmV03CAzv49r+ovLwcU
l/zeP18P3JDYfr4Jmb9ZCj4UzZ6h5LgHTVKXNf3FIIvQnYouOUl62gvW02e/BpeW1cFSkwPplUm1
YEW94Fuhjx3gt6NXdQHqhiRS/cLM7UdDQNCrU7NE0KMy6DdxEfkhnfzO7mz8giLd6mzqbq+FpYuM
kHqEhUhN82xJeM+Nn4YQOIOanhJzesar5Txygv4/vVW5fHEImEJflFvLKtXvJFhUUROHbAAek0Rl
LivyMJDzyMfIlmTQ6l8IsSCbqGcZgCEvs+HWc6KjBbK+JARIYv+ZhgL2pX4DevcijoIbYtmvSTfa
yLF5ZKohFtSN6kqWLbVg2UERQFNqz6AGA/cnMdHsHFJ5UbgmloVjPGmG8qgF0KNK0GarwAL1M9EY
UoZ8pYlqo6rRzmGmTaMf12Pnihjtn233B4txSq91Nds8VsikuTWIqnaI66jz8cXoYZIb1UtmIToY
eZ+4NmPoL2BZjlYm130u3MAKkaZkzHWc8CoulHg32tMqr8eVTFAZFRQ0ufQ5l3AzdopzhbHzKxia
WYyA3LKNSKNpibKF0qT7hA5p8igJQwwNxn22BnBC+BPZsVSocRscFc1bxVqPcbqZ5UGXM77RD5g+
xMohZRdntrW1teSpK+g/ANykZSlcDT4wnY9+3bC9g9KhA6iUkZsQjB319mGK0Ao4YYFi1e+XNWwg
RF7aOkK8bvb2pWdrWz/DjNqXx8w2qXqbRDknRc+kJLH2wu8PjFpKukIWv01Ba65Xo21Q9BdKzSkh
gSNopKscdh1M00tpriz0Jr19AlcnSQFAimx1D4WKHCZVLyRygNXgiSPOVLwywO4Ord5Zy9rUtKUV
YZHsu8ktqBu2+UgM8CitLbMmBVYezUpGl1ifKu1vtra/uVONn3rdeuCMkVPE7Umy73f1RZoNy4Hg
Tq8/x9WFxonl9/sRB//frQzzrPnTjh0EGacLVoY8fweL1A3XMMcy/xHZ9u9faEYp/OmVaDMLLEtI
GIU574wf1qC+Bk0UqR2ta1DYqyIc6mXo6bcmsKtdkCONiofuUBRgYnJN1S7sOfRCRrnCYWJSVz3P
S0dZ+SpU+4opsM3gs71Xwvycq9ZNQvnGqWfJNO5m8OvBzRp/nTbhcxaJByVIimu/RbdjBgFdMrM9
mEwsKSxWowaMixJvkzWG9eDozk0xIdggVKA1ml1o6IcJt7xZOOc+JtqWbRuhyyHWZ9CuMic9LZmG
PqRFtQoTb9cXuJwTUI2Mb1EposRJev+pHJzqQfcJA9Brw/+bb/Vzv+X7Rv/xS/1pOBdLgU+dwJ+T
PTwH0+tof8cj/uXW8XfPP1+uH340VUmokfE9nkL7BhjaojTu/uay+P1V8U3w+uEFUpnGaqz748nU
L0PmC3xNajB+Fzz/5aeYv4Wftz+JGRUJrtRmL9HnTzFYNQJLwadwSPxq3po+pSa5Cwfrb34N/fM1
/q39BeHj/7F3Hs1xY+m2/S9vjg54M3iTRALpHY1oJgiKIuG9x6+/C6quaipLl4yKO+1JV3RI4mEm
Do75vr3XBo4/218NTqa/DjQiZKQ/VMhHjjGvbGrLu8T1loLTLUL7YZEtHja63e2/34R28G1wXhJn
/M4bXa+VzeffqvyrsOOPefFxw786AFpdaBUWydzHxu2WsDuc4bZdkTLhWo5lJ5UrrfieXXLGF+Ii
cCzsEI56zF4//y203/0WH2fnvPh8eLiJVyemDM3s+DhsZAfbuWudjcWpxvayXD1o9l5fpivrGLjD
GtPu+s5b+qthzbq3mFbEgaBoXMRLayns23W2qk8Bdv+Fv/yWL9qjaI8rbWNt8l2/ru5T9/bzX32O
qvzNlPnPanX1BQpyHQIOD5mXi3xRuPVb4RZ30rK0AU4sybpxoFBs89X5de+0G9Cvgx1tMT1soyPp
LbbnQDP54dnfPv+t5h7tZ7+VfrU7hJgBKhR54zHYWIvAntaQUe4y+lY4IRb6wluQ0rNIVpBT1/Iz
hTTn8/Hn6fvZe3S12rDUCGNdjMNRnHLH6PvdJMTHrgVJ+/k486ry2ThXq44JLxkSbjIeOVPTAn0V
h3Wvfx8V3NMNpSj389F+/6j/Wh2uK8pCyuKvlVF7DABojd5N4V/+bwNc3fmUAaqlnnKBItJRjqgD
Wsby8xG+eDDG/CJ+eNGEtDAzY+RFy4tjTXu3kB+n1vziqXz1PV0tbrVE57YzouY4zE8FtZU1RPb/
7XNcTbA2n+oWH8x47EH0h/oxjQcEs+fPB/lidhlXq5Lu+cJIcY7dgNgC1cqcOGlOitLadGgJwpKP
HY3Vz4f87fPRfhpcsY9Yc/vl4/PBNKJ4Rdi0RzV9ryI3VgKKfKvPx/jt4/kwxtVLQyBXLZSBOhy1
iBBK8ZKmX1QVvhrgaklE3TwoUV52R5FFm2J0jN3784/wc3/87MW/msdBSNPHS5jH3A0WYD633To+
cEWwt0C3Hf/Ufulfv0q7+/ME9dfbr8+f+sOrI1H/kxo5YI96pDCcsaqSCb8ASfgi7adNtzhPBDWx
dWsOjoaFeREWN40z7+rnp/KsbLm1QyJ1xmaxzuxg9ZW9/rcb+cejy/XMCatelDxeOuk0b+TCol4l
6iaT7EW8UpcP2WKLE2D3Ln7nclbdjzvEcV+sXvK8PH32UK6eeyfUelBaI2eJJZ6KJTFXsr6wdsny
BjDvXlm1yyfCSxcZFVsXv+rKtIUvVuivfgXjat+Dp0VGQF80R2GXLwaoG4voB0lbS2PXvg3rwkn3
xgrHyrv/pNjDKj5B6n/7fGr+vHh98i0YV/MkRmep1hlTs3IHl4TgRTif6jaxfddths0Gg+diOiJT
f4DRs0zdYmWc20W1bJ1g0y+C568QFD8vZn/7ff7zul+DF0zBojeUsaSUjrrSVyQqD+7kTvtwJy1e
/Y3nxra5KdYU9fYkgtw7JqcDMl1XsXsbLudDwr8PB/91Fc6z8a8S78xR+DcDYQY1/P//d3irXt9+
/EZfx7/6U18H3ECcoecaZChWGoM/+qtnL/0L976uWjTnpTm+6z89e4CGaOGwExJ9DuN81pX/2bPH
VYgo00ATpyC0YUP5JwI7GkS/vOFcW+jX6zIJhOg7ZQ7sV6+XIsi91JRxfJJErLhb4OOFSFBuqgo4
hfDRO6mO5Mtuy6i8SHNyCRhAqBxr5r3oRatstpP1JOk05rdgpNRWhN2dpKgVyGm6b4/e7DDRG0Ic
Rw7cdvrTfjI3COCorgtZAwqESSWPx9MgEHSNAODFM2QO1VW8KzC2ZPoA3AarCxFiq2L2vrTm8A0b
4A8dU0yh5PwAZSrW/qAhlDbztVpblwYrTZdXM0UgRSUk4bMp+ia+97DeCKqCgkscQZgN0snEntOn
sKvpO4trf/buDJW57nQwsGlMzIkuP6mzz6fPx9bpZu9PzjbooM+N1gUhz45VGSY1KQ8rTxk8tnHZ
LDOtiFd+jEBmmqUyyiyaaX/qZ/pZSoNcAFVN+VNhI89im2GW3QSBCP1gluLUsyiHEFb/xpiFOvos
2cln8U49y3jCWdDjS0h7RjQ+5Sz2CWbZTzYLgPQSmg6hQLUb/NQHdbNUSEYz5M3iIUzULOEBmq1x
lhYhv0ZlFM2CI2+WHplFNbe+rBGmN+LEMtyqBuT4DXZzIXblPiaQ1Yil71KpqMuWGohRRtEh6IhT
9kzMoZSAAyIhFxQSXVFLLyrRiL09jDlo6Sp+w4n6gGl/n4tYFFOjXyU4kGxD0w6VJRxqaHzY5sOl
ViQkSmTbQq6eZCHeRz0QglJO7xQ/6J1mJvtj9JF940gSHZ6qoDFifJsj4UiK0inEfGpBNB0kDS68
GPdOXET4bdTO2xDnvGnTuWnuYXwb0NM56eS/TkMfovviElVYJNLlswhOA6Vgk2z7SuuhmhV4MYli
lAGVYHBaqSH5BJ7D0AyIPcAbILGPMP/TVSB56djofbo0RQ0TF7VuzDk+Jjz+ZjSL6yTLMcYisGNx
du5qFgv1pHarMQjZ4QeRFJ8eEEKF43EsAAOKYrPTwwHWvIZDLEzI8hJT+VkfED54Y37bG2AerJGA
Fy+rDVj3GJ/wuS1Q73KFNoy31PN/JDkaU94u0og4qkRCdG6RYzAHZEcS8SS09UjdVIIinuW9heNf
XpBN6C8zsWrI34X2gAbAzyf8d5GRx1uiwvK7n8vmf/cPmZrqZ/tH9iN/DbP8N1sI//CvLUSGVCvR
wUHZxaycLeZ/bSHq7FmHs0HdCQH9hy1EZd9BTo+3B+cA0q758PvnFmL+i14Q9BwDM8Q/guNo+tWF
CoeABoMHYzqVNRqP18Q3g1hkE8K2cJKYYMA1sCCr05vXw6mItYTQMEV0gVK61einyUoMi+rGqlLh
IhudoODCyDPjxsfcai4sglOXpBpVD3hZjfGVhDViyALERLJMAmtUzqmsMswafybmQ+hQV6B5KtZr
0luHJhycrhAst5Lkx6yIxVe/JO21lGkD5wEJsJA/mkU3p8I2OX9XMUqV9B65ei5+psfOObJT0Gnb
PjO2UVQpix4euBZgV6qJn23l9ns6INLo5mRavCjQt2efCaG145xemxqagza0O5pzsm1aRb5jzWm3
1UjUMogHBY8nOLPc9BfKaMWOiUZ7Ic+JuRN8SLmhhR3VRP9kY0NTxSRhV5IeQhW9BWvvMSz9ALCG
dYkmMCUEeB1GEdW6iSq2x5tfh9BjTNRIakOGiTmn+xpzzm9j9OE2M1CRaHMKMO5a0am1ORq4QiuO
lpa84K4A+MpjEU7kIo0kXFhs5cigmpDNRSVxOO7y4TKh2CUiUI0vA8HESBKCtTVnFXtoTEckblPo
omQhM5ukjoTk7znguJqjjoGFYAoDn2QuMVSThRwRswgXPSu8W9bWYtVFUSE6TOxsk1Vdh46VlGJP
F8xDqPY1m5TlEaDBP84OUtl6F6kNnpIAWVeQ6S9+Rbe1r1kaMc49xVLjO15TvKMwT0nn8PeJF6QL
MxpPCWZskpvS9wBOCnS85oROcbRTtJYs82ZsW4RoAlrXN1VXGlvCEyS7i8bbIJpvPGm6UgP+x6pw
Aw8axRV17Ak6RVvR8ws0PyNQq66X1UM3pxSNikE2NSD1s6bVuGwrXMwiEhhNsWUEcMsiSpp9VVog
CZhoJ2jiuluVWrnTVTZyIUenWM1HKnNqV0qQPM/GJKQ4EsK3od72Q6osks4ndEP1zCOp666QWj9k
od7rUXrJ2/beE5RDXRg0ZmWhOI6UMjeyzvrOIr4WNPr0KfsJ8gPPc0zzrRGGXZjAwVSN/Rjk7FBR
sCoH+oqctvjMJ3PMaKMj6uyEnSaF+zTApxq2mnfITKznqV4obhv4t5z//E0ZJBswKeu45CGZATLw
PoQFGaFew7/+4rc9b6AenoYu77D0ocMWmi61TaukAZ1srEZzzKp6SSsI7kBiiUR+142QpSV1MXS4
RUxQRocPypdx9GGOCopoY3TqzuoHm5MsuMcGHCJW3nszEU/o9e/1TjSZpFauQ86w9K1nTu9FKd0A
gNoYrblU0tTRm0GxxWDY0V62UUm8BLqygovk1D4ivEgzzzUaLDOXf1gx73CaKG+NNd6opF8u07I4
jOXkCrFqFzxjOJ6hrQI/BVhqd5OILs5LX6dxvOvn+SjF0QaN03nKh1Nq0hKNuLEN+dpIc/J4GJ5U
rAutv+NYjrYM2jbz2qVgoj2fhBU+gbUBOzItorVeD66gzUhYOXzVTQQVwKoEssdjAjbHIj9lhQie
ScxXFDkAcLb+WW6Iwu789UB8UJoLe7AV7piE2IrJeaXeVvKKkE5h09tcYkS1vSZ5q5K3HK3MAC87
MsX1KGI067NHDXBBPSlLSWUMDH2qJ58oZtzWje7iWMFzPdyog3WXRBPq1IQo7Lwn8UhFaelZzEBP
gN8vuqaVvo/g91jhXLgedh2YS90kpN2vgw0OwzXazEdRalDXm7e6XjyaQX3jd2Dw0h8ZELtSFIFb
D4ixlNANdar13riMfdUJyNLzleCCauOQd8oNPoN3SWgWciXO8W6zbGotWN3arAVXDJLbSMv3jSbd
42rhvgGmSNeKWSqzq8XW5VU81pbpSkq9VbyRAUsH1STt2axe5iUKUbxLr32bP/KjAJl42E9rtaCT
DDDKCHp7zEjzzWpsksKOoMnNJBiQyWlkd1WM2oZNIii80gZegt1RN1Zy0z2gmHtuSqKcCmMDg4ZQ
BtWz86Za0x3fiEOKgkKzQPl2j30lPuRVdANoDV/+gNGg5buzHGoEa6PRmJ3GCozmJcuTXQGarBPa
2yQ01ubgnUB7bZDMbTtPOgQ52sKsDd00Gc+FN1vc0Zf15iWqCKOShqeCUsNY4RqVLfPeq/RLXdWn
rNZu2oErjSnVt+2cAkrs3qKCs5RpyT7R/C1eSnHRQ1yp5oVqyh/HuNnJlbYqOAq3+GcjhaJfPx96
Moz32X1VjFtJzncCsYYnwcMZSshIclsTumBPcrOtRBH5SI9bNWbjiQhT1O+jJkVZCEOYS2TzpEIo
l2e4V+47cSj90FMcmU35GFfBRpSlE+st4Raz+pVcHW0KeS8TI7YnUXoKtLpwLSW+S6smwWwcr2JF
OkcxGtDYws2KiNyF87/2Yt3uZSF1QgTOHXh9w+99WxrlZZyALA6y8+Drq8gbtgMZnoUAjr2OXppK
46IBKwMjDNSSznDa1neqQMhsYCEY+1s7TdgkBitbd4L5A8WWW4fiyu8MNxQHB6cp60/NrdofJndI
sx05pbuq0e6g4bDXgFXL0CA2ZHUJQS9sM1llrtPY5m5XSfkmEZrDhDuurorX1pzp0qQOeclw6FRs
tqnI9vfhSHv+oyz1uYdUo50uA05E+GZZ1wWGpq+qCkSkcBJT0CzxIo9vBBAHnw8yl0I/VMR+HkPn
Bq8kKsjKlZ9Vjg+VXKhCoq6pknAaEAyDN2mfhvzdV5YpWSmfj/S7A+/Hka6KsrlHYujkMZJsHgMV
p4whOdO0yfVvUfsc5vo/64r88cF4myiO4AOiQvNriVqG1mJ6Se6fO+G5aXel/5olr//8E3Fa5rDM
MAqgy1+H8FBQiRaX0jPhnFG/aiGwJQG2b38V4oiXmz8yoP7XhvxVP2T+RCSfc2nBU4yhU7+q88+E
H3kUm/AcZsCEFcJX/FURf/GZ5ors1Xz4ZZCrim3tCY2mewwSYaRsqn1kBcvPv7WvPsb85x9mXNdM
uN9gqZ4hGunAw2OijqEjfT7IXF7/7GNcPZoiHuOiS+vwPAjKAvi6FZ5VnAyW8aTh66xPMuG0n4/4
u48FWUskQEdH3nHNw41DEyRsJIVno7yUIjLyZGN47/98DOSv5EgiUyXq6uqrIzpY0M2uis6oDikv
Lg2MG31y//kgv/vqFAOIhqpIioFd6Nfnk/eBYYThEPF8njJ9H3BThMC3sLzbqN2pHU0e74tmyTyn
rh/WxxGvHhaYcWIJpBGCGACDrn4gJvOLxeCqRwaAliwag6QvUjlVnff1avGpc5VAqUFKz9EersaG
zfOAINfRLsGNZmdO6H7df/ndhPj4qa6GhA2XDk3RRedOh0NOKUgG8Cjn68+f1u+/O2TLIjunpl8L
xPSJ+ngDbP3slZYtA4symy++u/nbv346kP2YbYSGzvGhv86HopZD+HkUvwyuvqMpc9p8DlV02FH0
xWf53Tf2caSrBY4bcV7hZo3OkvYWmBfNuy2nL5a33w+h6TQGyDUi5u3XDxNKcWeqkx+fs+ykQScd
QhlIqP7FVve7V4jJ9tcoV48ed0jQjD6jhPFrIpC3IDiViiOitePmLMSrRPviGf3tY5EtZxgwJ+AH
wLqZfZMf11TZ8owiNfLk3HSrsnrudaecbv7hRLsaglraxyGyzucLDcrk3BOzLQk+dVnti6/tb3P5
5xAzDVLkwEOd7dchomFIhYSb1rlOXoVpgz/8iwH+NpUZAPCCxntC4Q38+q8DsHSiSc/QRnDOS1uQ
jtEmJDEos95+flf/rcqqvJL/e1X2Nnipm5e/l2Tnf/VXSVb6FxconQMZME7wJTyiv0qywJ3wXlg8
IB7TnLv4pxP3j7RGjT6gbiJVlUV+4L9LslRrZQ5f/3bo/lNmuXbVsaarB3uDn8IyM5dnTUv+dYoQ
HyZiOWeai6CVaGCgtJfU/ltn6CS6lsKpmPfDGmMo5DmYDiMxoiPce3OC6twNJk6Y8EDb8k6Ns8TO
pNJcjgp3n9qfqGEqazNpXb3xnHSQ1n3Pf0kXXhCPsuQm8FRrsAexPC1AQzj1UL4ERnQYm/aN27DT
Q8GmNIfLQyoOdK9edZW7zWiF2CJyrixh2q6jolqTdb+rqaLm4J4nmahU7vGACrq9Luf3Rt8dexnj
zlip4SqY5JekEl1ZFB8DkeuS4cH2KDDprio8KLB0TGxder0Fmd65plfsGllYWwrXuSC69TpuTIOi
4A0phktG42NRA8vE1C+uSdcQdxwu8L6ZPabHTMoWQmqcLCX5QW5hsRplvBMhQfELAJF3VZK/JwXk
IjHruW3W0SEmLmkZ+uSvZV2R2EFhaLYx5COafNOJhXEbaE229Dn8NFolbNMyW9LDvATEtC4y09pK
2AcXeDcOFJzB2bXUBYZLiBOO3BEah2PaAxE2qWsARhLk7ELjLF2opvUURdINcj0BkgZWijZRUnvU
lbspDZ/irFz2CTXE0CQNSAnDPSfpXVSK73U96WsMvkSGhe3oBLWOKcZTLm0TPAQRv79Pki5cexJ3
9EJdtzrQoyJTVCetQdxHMWx26uxARDij0sBqJPLIQsYRhxptHdE7eUZDeExvhop7fE7k5GJS2pXv
o70rM0p3Df6hZR/x7xIFkK2UxuoqzdsTgWYPmuTx3GtCeKWhpAtWPEFh3cMM21ehFW4EvNO2puMD
UmWcKxbJdHYqKPS7GrKflPyYBdYe64fBBRi8sl+HR0roT3S1QwAKtC7bkJArNbP1nl8U8T8q3qRb
l5J4luWaul6frmPJ21V+u6mz4r4VulVeZ5RMclfVqVdxbgbzUnfgcvUe9EuCU9EUu8epDN/qDtJ/
NKwo1o9graCTZPps9eNTjcY5L3ua0VZ3a8aJ24jbEi1Jd/CE0B1FC6txdpK07Cx3+Di16SS0OgD8
sYM70yg/0VhtHkxLecIUqUcJXPc09KARBt6iJEY7z/ihiPxJN9LxWPZqS8FS7N5JL43BsirYRov5
VYW+NEC47im3GtHQYjIsI3uO5FtJmbYJJNzKk6em1UIeFXCsmYVxWRh8EJkKRSlKXK4lmIpb0Tz0
h6DZ5l4cAS9Xf7Rag6EKbkuudI/l1L5ORh9hW8FZ5Sv9mXxVCFahDhq80RvkeHKHw77N5Gon+0mz
Y+0pl5FZEAAwlNDiMxCSWpZGuqu0eHfvSZYmxzVQKyJdVbDxuEcyUHHGQOar+TP/1cwEKMNlB7Rg
TWzEiAVboeBzFLJ0bG//yJbtrUpQdu3QIinWsiR4rCZV7k7kCq1zH9xXERF9l6ux6oahBpFUnF6k
yr+pPYXWbDxsVTVr3UqowPUL+k6jK7tEd0GDKdFfyzyvKevo7NWR+hhz9bEDGsYwSyZ9q+RM5jij
DMxfR82l5c+Fp74EUSUvGxMzPt7ad4i6+HSDXFwghKJbI3ZznQdaASXbw0gFfggthIWFcFCz6iJ4
7S418+cu7N8nAUP7ANK8lgh28wvkFrUybAN8DWJPzrNRvIRxfqOTDUsbQ4P7qUtItRsc3HJ09Gpr
L0Qj/Rb5fZJEfoqvvcddCjM9XArTVh6HaKlqleP51U08sPSIARl/4H6TXRIYBzFOsGQP+cxN2gSK
UtGFRnZJJCB6Czk96kaM8V+zfEeEPi2zYy57Q5uW4dAesFDsLA34DN9CQfRPSbx4DueETj5ru1os
cRIZzoTTc5F5wl0TLyfNf5ArOuQmLmZiMBCZmLHVMzgQHSu21sqE1XAaaPQpEAmxBg35KR0KmmV5
vy/MBo+oCRjOl4wTBe4DcKgUi4d3sjK6cGm99tvmRbf60SFh93ZMhNKZ0hkNa7GBaBFdl5bbeNtn
D3mSbyMh5ndsp0dsu3AmWqgvcTPlC02UBbvKm7fasu5ZoF2xSPZxGlCY9pU1Gsv7soOcGhqDjUd+
U/bKuTOLG0vLv4dsdAvJEI8qqgAMpp7dZapH4ohU2ZpYbXww0Ky6RAnKGne0II43ljZilvEzOzLl
clVrYW/TVIRr0J5hhbiZ3HzrUrIJ4hK5Q0t7c2zVwYnFtHNEySwBVXiI63z+1OiifKlDrssEisy6
DICr4QulXp+cxKKOFqbRbNuMuPlSt7ZGPdzDoRAdkASHmCULkvXkr4Re2iWZpdtjDx664k3bwQI/
6xIEJ6EuqFpmIuoimfRgLFlQcZTSA/KrYC4Lz+Q9fhMgrbrklGTY7D0WOK1fT6nMK0GDRq5wbBFJ
RgRBPrxmuf+AsvtUZ8YrPk3ypUW3qPXHPPbB5xX6slHCjZcWj2JurhW1uu1NeYfjz1YILLTFJKA+
3b/MPevWkN+seNr6bXiZJIMIgka8zdR5ERc0Ujuq4I9b0H+P3bOV+38/dh/yrHkjV/PvB+/53/11
8OagPFvMidimVjATa/5z8Jb+BeSGW5euk9XzMxDoTwSOTsAQvFyu/RSh+Wl/CiG0f0FnBaVD9VPW
uej+IzGEceV54dSN750zPAA8cIaI3K4uzGmRqFSHTbTrytS5heipSxxqTwYSoNxoHyAI38fTxZs3
71Jy5NLkaOXfe8kU2/SMFda1mKiM8QAJyxdelT6+T/Hu40mrohXAl+96g4YBbOSmSKO16GeAR9sc
eUXlsaUgcwIO+ixw0vwuNaxZipf0TgRZA0x9BI260tcs1Nusp7gbKcFDSscrG62nia5YUpgVQUDl
yxjFFytQXipdehw6DlF0Rg/gg3N7DGLgUmW0a1ukBhqehodRNJ9DAMm7rMAvKvWavhSL6D5uk2dx
NKaNmtLaJBUcdcK0nkr5uavTo5VhVNGNW/JtYsx9pUUKnRb1920QPpmhsO7F/KGuBH9ryMXSqlU7
zbqjFCGtRbY/jOFxRrCVI25xLwx+5EC2yG6BXK73R2umjeWhvFFzF70IiBNaqvLtHCpH57iJn0qZ
gzW/4mo+6iIM7JaJSr+PwzeSrEimp6V6i1yraxSA1uwjxZfuCXsMHP06b4yObLnW6fOIzjP2WZH+
uKoH4HGTZF3myY+KjsuykWuEXpW4qvQpsLWuPY+mtRYj+qYiaTirIKN3HCKvSDLGS9iRNW5VllF9
Jw8kJE2TYqU5LXN6RQShcLBsyRJoQpyw1jEt1KUeEX0OaB3aT0AAqLFky8Qsq9KJTkQN7PTMMfPp
LnOU7aRFEhN1mRg1jsuwSe3QKJhsoYVsIQUb3hgvKBbYOiCetjWNX8ixs97m0huAOwyJKnOpvI6z
71Yto5tMSiOM9tVKKJR7DShSmSaVQ33K3JeCtEnM/FBEwzNg329BXX8vShN6aT96y0nXiTSIWnRy
FUDuOGo23djky66MHzh5z0hxw7LDIL3AeFLsuBvWqdTkLgwkLgmj3i/ifKPIOKDBA77zPHZ5UZzU
KoBmKK4gDtASp7dedKhZxkS5jUAdwXXaNVJ/yCcZfXaTbcHj7/Ghb+SUXN4EyhGG9e9R7W+swCfi
QeYAbdZ3fR3eFq1wTy9nI2b5tiVXMNf1TSz6J2hxz1md3OtxyZc69XtVqXZKmx/aDsIuDeFLknar
weNOxTk7m/p1YeUbaa6ajeqaHvfWV9EDVKOyK5J+19fiWQzUxG0BKnl+89gbAXwZdXLDqjkVLWdk
mAdb8rButLDYxWG3xsnY8gnTligxwlTF6uAXBp3+DhXQCB/Pl2/rvH7ws3LnDdGhDTCO++NNBu4F
00bwECcBe1b44MfGSvNzrrihuQH4v9K7PmB2NAclIysIkBj6TX+DHu2SCh3kIbEkjqvakCD2SL5Q
Yptikiwtub0BmLRv56wkknqJRZvSR8Ska6Pt7GJslvIwCXaLeoeAr+fJtFa9gIrT6t0k7J4y+Lu1
Jr5PNa6iEAXnBGwvFKl/L4yJ8/mNTOCdnZh9QhBRrrH2cVHfkipBprSe7Cy/3atWvBmaFmsYl9gg
CE5ql+w8f+wXdH4PPVcWJ7Sy713YEM1YJXAsrFWZW8eKfF1ofYOblqIEcUj6FkrtfpDUByUWoC1H
t9P8CBVT+15IA2+j78Dl3Um+8DCI3Ukh4kyMgdXrBskSY/8iC6Cqw8JH+VEWsAF4FpWkuVkLA6M0
0+dCUQ6jlTY0Zqt1nEerOCt6grGkb8g5tmXdLYIAVXQtXDpQn7as3uF/Izp0+h4lxu2ECHOfaWWx
EX1Maml2EGZutleCFpu0Z6nQV4bsLVQFaGTUECvdV4O8njPGZNl/i0ciWmiyiLvRGPeSBMZfkqBi
cDlfGaVWgVwOCoCnaEx0X1zXaftY9+FtmU37sfXvvKpeZ8Lkk5FrfoNVs+Iz3/lj8tCUAf4H9RzP
qCWxs+VI5w4P0kpT81Pf+HehOBESpndrgZTTZjI3Va1fpkRaV77FVyOdhLLCdYOao2vl2xihKsdO
yhNmNYuNpf5SKPqhxkCnO0hf5cRp+zL8pqVhw+KvGzs5I1wrNZOZ3KAv0hJlWWgCFIonrvrGuNAr
PhLC3HU1jCvDzyw4MZqJ+qnLnEkICSTuoIT5HQzMrk2/d5zmiUyLOK5PCMzA3C4LQEsDQjctb9Ze
QH7CMN+6887qtri9U5id43tWEavGW7yIR7JllaiSFmh2TUdLkocuJz1NHPU5jwvmI9wLQ+AeqBNv
mvp79ErFKSul5jGSDM7A2lQJbmv22qXuM4IBzQnhYJ+oJPIgyJcQseNQnyRhjzZxS2rxWTZjVx0i
x5Cnb2np3fhArNpSpmakZLacmGAYpPLR67VoFic4lQSJqYsHrsrQLZWm+d5FrS3F5pPqKYeuRygH
u5IYbwgOJFop9R0qmXFpGsELK+s3UanWKDtPoja8eZGyAxyH1Jg0OyZSbteC8lhM2s4I04MXJoqt
GykELgQaBeqSli26GlFb6ZV3ikQNKkR+09SEzqFs3xS+vteGcC1VBKbHxQasGogZMV6GBvB0PVIu
Vp/eNhTTunwcl2mW3WWk4FLhiXdi2G9EUThYqmRzFFrJQ7lpPCBrcbDxjXIH1u5BVxUuHtK2Uthp
FZPE9+LViyYniv3L4HFSGBH7TF7gVCBttbJ5S6kWCRkhfky6YWh3rZW8kvVEbdDKNrkY3lTUJHWZ
3DM1GhdKSu7HIN7Wc0JZww3JHlEkjYbPBbV3vQ4SzcxJb63abSJpnbbyI/0bO4mkwSWQz1ZwAXC0
KCHSJSWre/yYYEkkOsNf9LgYrJgWT+snBEtH3yzLWynmdBY7uAdxI92NPRaDqHjIJQBoSkqctNCF
P7wq7+whIlmxCZQjdMKj5yvPg9iAV4sKkCzGKqJsZoWi5fq+t+vi6a0YtWNTgCtkfW8otDJZ/LzX
uCkb2JjGQnK8UTdPuZRvM7V1iG3X4eiLl0QV9mTKzdEmilvXqDw9LQAXXKP4CEb9SeuRUlqsNAhj
hv0wmOjZ+vyBoMFLIehPshx5bhGWj9RuCbPQWzeuO6rONZ/a9KS1NS89Jao74D3B2q+SyMZgcSgQ
Psa+QEWMWlEh+eVSRhG3LKv0HXcDqXAj1VSV/4c3dil1kGfCoVglU7rpDeRwFKT3UzXv2pr6OMxI
oAip/rIaEKeVo3qU4vAI9NaGBxZsjGCq9wWCJ6pQCkCHxN/2lXex6uQJEau6nl93nVADhK3s5jTO
lCczAAdcqBepH8K9pWRcTYuNX4h3MqkwU66JqOiofYr5UkzjfemLXDTVCixx+k4JGNaSIoNIM+/i
Jt+GZO3EHfiApB+cWm4eR6m8sQZqIllhHCPJP6awlBNDHXdQ57+VifWkDsoNopJ8pylR5rRw9F25
UZ+m1NpYoDRswP7ZKuv4wUIpubkUAmTO1G5NBRHFMwJqMqbUVFRuBymSuUZUlaA6ZjKqcmTHii44
shR60z/3AFs6CFMDyAd3KRqbV22LUBQHWc7CU1TQz8oO9TQsLPX2w7Xy/EfP96Mg6ap9BiBrHkSX
SFijHcFV8tdBYm+oFKGuQwqwGyE7iALFB/Wu6e8+H+aqDfjHMMaMQKAbM+e1/TqMJ/4Pe2fS3Da2
Zeu/UlFzONAcdBHv1oAk2EiiqNaWPEHIatD3PX59fUdO5ZVkpfyyXg3eIAc34qZtESIJnHP23mt9
S3WpAlQO7vrTUFwrxm90VR+8PjRUkPmQ8/m43n9WjTtZRWFl6SEfuNG2js9I68/q+4OP6aPXZ8rI
J8QHJe0Cb3//wM79mQ5KdnCoO8wz8w8q/1/qgOSU8tVA/pfP5913LaxECwkjjQ5E+ijZMgFNDTcV
0tdjGq8+fysfXArwDEHgDuIw6HTvvorUCdR5mIvkADAIkVurLiCHBWLJNgx75vNryV/73dt687XQ
bXg9YFa1KGPKlqaH0lgSnWVSd7Ur1tSpX39+oY/e1Ovv/92byu3YRRv280LgDXMiM8M1+4jcisvf
3Gvyl37/plwprnPYHQ39mX3ySuxkmLlesPHmh8ZY++ldP3qmf//52/nodnt1ife329yYnJUwbR1y
5y72b4XyP7idZcyNDVBO17Bjvv1e4iplEMGM7BCzAhpE1U3/g8ULP40K+NjgsSGf/e0VciXnfG9p
xWG27wb7tEPjqba/Wbs++tK5iXHFCRlUKa1Ar+8uovXKHOxXdkA2jIHBwYxsnvcg2wjMNX5zJ39w
LUflbeiazSSZ/tPba4W+Q5MtNvNDKGtqL5IOCo/+Z8EZ6+L5y/+n5Smn/38uur/4hw8Q3YLHDxqe
/NRLw1MjzJxYehXL7/twdM35AujbhPhtOdwQkrj50vA0vtDStEwkBY5DO1ICuV56nsYXg+xQ/sfL
migw9b/jH6apyV3w76WBbYfbndd32c50pHbOuzuyskinGWzVx8WpMT+a08RdaiToHStjpR7ndsOw
SlGnDrZseERW9q0TkBdd2vG90ZsaB0FzsLdWSN/EqwzgeWpZld4I4JikAyssvhKfQYgw7rcGzByH
UKwkkUVqdAkuj+jn6LHtVL9e67kZstj2BSFFmGHpfazDLoqJok4bXWKPBCmEdYz9Y7IVl3nQtGjk
eHORRCVD7RgiJU6y+klxgpHIKACdZuRTlOvuA2A6SsmJHGbFiN011hvKgCnAaVIjbaeKLefimDbG
fp6Hc82YwY26Uix1Iop0B7VtN3JSYjbNgJbazVwWTd+t9EaEJ6UATV0qZzF0tIvSd47bMoyXVuDk
S4geRMk1Rb3UlSHxJiuOF3WpxCu76g5j2xyUBNjYQDtpMVEZzkUxeGFgW+4itVpCgSJjqp8So72M
UvVStbQMqmLa5mdKlcx7QyT0Pco1c5DwhgDUpd06Sx9uNyJwwhuMInyyG9KV9JISRi9AUbvdyp2M
7FKxzGFdOlRMNojOVV2TMlvxdkusfjhkwQUTI73StTw89AH5JVEZA2Q2qXtGhTkj7HGXhIxGnSBo
uhCBS12jL6nsyb1c9xYg9qkrxXXjgncIqQ3rCYiuCkeUBjXDONpkWKrt8tb0O8lmVihfFjmAymUD
13fz6lE8+3kLvz4m/rLn8cBJLSIoe1Z1Tg9vl79YDQcVhHF8qgMaXRvpoN+FE5/TQHDDH6Lyf9Y/
ia746/XvIuofqagfPlgC5Q/+uQSKL3K3g5WgonqV85sXrRWLowW9AIQB6w/iUc5ALysgxliICixz
ABSEXKFer4Bos4AxcNv/4Yz9GxFFz0LitwsgTVCLkD9qCiLV3uvZQz2nbO0MfV8XVVXaJ0qKnYeA
YqE2GeNvEScHt9ONhF6hr9HmHLp5rU0Tc3aSAswDLrX00BWVQqrsqOxMMzf2HdKg1aA3+XFG1vPl
ZJDlCZG8PMmjtrhvg3Y40rMhuRTaQBpLETOqaEf7EVap2BbC8dcaicZgE7DMfg9VVm5aAkTA1gM8
eTfdJLo2rOY0N3+QP6M9KUY0X+iNFXX4j8A55BOoX9VxedSsajXqsc7UGlRxBCPrLMs6/0pHTn/R
lUoaXqqxmQRwaWytmndzGfq0ediTyPHU7DzQuSAkXNxlPTtZHa6mwQF3ivGrP69rzRkAPta6WPkz
Jr1T7F2xl5lRFV8r8QwBtOoT28Z5b1VAhmuDOFyzR7abdB0j4T5rvZnTy8qeidbBMOS0JbkPch9Q
+9o1j3u5RfjPu0UmNw71eQ9RKrmfTFFuGASzNfEO3LDtropZXCB+6+Hdym2pYH8C5R8elRYGqb3J
NGkHlTLqL+bY0dYTs+vZgHku7GGfuemUKz9Xn39WBHmA+OsVgTCU/1g81vld/fChLV7+9KtlQTOw
FwppWzHRKb9ZFxyU5MjzcPD+DEp5WRfML+jmwaeYNqFzFgLd1+uCQ50uM9aJo+P09Leiyygq3p2M
aC/IqE7bxGTPqFp9dzJyR1MpMcyHp0qCssWU96tD2tTOkvdw/3w7t1WLP8WaFG7zIJG3vD9UTXzN
FDb23OeHIpfPR14Rk6cuSITtz+nC8wh1P5+nYERSpUMQ6WOeternk2eAMUFV9PxI8vDXPJ/t88Pq
oOxBdkFoI9oF5uho+eb4KivS/lrATNGXaaJietbQskENicN1WaYcLThCbSFU4GM1O/trjiiREVTc
9l/LDIAx23s5T0uRE3SyVJoqpz9UOmdG0pe3RlbFt4pZmluqshY1YZ/6B1vVAmeROnG0n5sK32rm
I6RZOpHlL91C3+WBmi0zI+5ozdjZqW3l/UXGWZCM20QXzKjyftspvomssXK+62BA5qXbusWMmbKz
oPM6yPyWMX6+C0VzECvObRZtiQie7zNdMZiHianJl5PK6IPQMdeMSzk66ZgwOr3RbsyaL6RBhaT0
t0xrNM1LeoC/IsZ7nnssfaxWrDz93JcM4415drdu4PDPprIONrbaztgi+/i74ebNuWs3NsnvlsbB
jCPfVSapz0ZTDmeFwqd5litBr3pBo5IwHPhFV+1CXev8gxPp8W3C2fVqdLu0I7SpS+LFgPIq3apG
jhlXcUo/3lVwO8ajzMYt/2gNTvDoIp7YMIHzmbCFBS1llz5xo5Bonik0WBInam5CQyvrQ6UQBGCx
eD4/sP+sXAYLzOcr15p67j5q7j/gecgfflm4SAYG2UE5p5o2ejq5BL0caHTji6ZSbruyQKNnRSH4
snDZX2AQ24Jd6s+feinpOAURGWw6aE7gRanEdP6NA837gs7k8riLMBfIFxXyTPW6xWCmqurEfj0f
5vZb5fiL7uUO+cvOn3yFf5+YHByAgtdAFQCwhHVRanheX2EufascS0M7NBilEG4TDLtozIe+3776
Aj44wb99J79eR57wX3WtcEOXVc1o92CW/VKrTwb74fMLSCHSp+/kXQ8z0KpcJyZBO+ijvejFte0+
EVu/dBWOfL1HVb9s+tuy23bRWUsSoRY9sqgG+PCL8za/DDiPtVAfzMBzsJAH4ryLL4csxPub/eaj
0GTz6bPPnBvr9WdhRIqPE1d+FobHcgt+6lvXR0uSIQ4DQ1TS7hbR9GQrOopxxKhWtPz8o7LlBd7/
AhhYTYvzJubrZ7ztqy8jp+xve9WeDlMfQ4nR3BrdI3004pxKRuZLN1ZzRA2Oc1QjFze74UJLB4sV
j2z1XlXmZW1W4UIvOU6u20Bm1rRdvUkzIi2No8FXGwPYRaxdj0YWb4zEJUDJByCTk09dEwNTduha
+mqttdOqbydMA4feIm86QEvD2buz5g2jn7NMP2OqsfaZgPuE7DVXTeDsDWzgNRCSnrpPJxGbxNyl
TZDDFJerBN91iUTZAmYzc0yNJo2w5+7EVjNPkuurmwYV74R9sxryY60V5zCz4jHb9LRUrzMzXZQG
OQKFe9UKawX+C5fiKJsPgaAZju9CdTLhFUl6S1W/yDIqYJcIE4k4+A3i81fPyNsH/30g+BBR7LZj
Mx/UjbH1d/NJ+83YMLM/4B05abdkL3jOyl0SfQaS8whS1mq8VXbJut2oG2sfrePfRFe866T/sky8
6z+KNO3sTN6yRbIjAowEsRo45xqUwOe35kd35uvl6N2C50TZnIYh11FAcl2ND5WEmyyFvuI88vmV
NNkz+OwheH8k5B/Xhhvph9BYxmfoR7pxCd1taDhWLIMD5dDnF/xoBaR5yDkUkiAV6rsVEML6aNup
oR+GGI7p/KNXzj6/wEcL4OsLvPvs1FyexgJdPzT9qsMLMyhLwit/8y5+d5F3q6w7utaMY1M/uP3x
XB211pVuff/8fXy0Jb1+H++Wx4m9ml6WqR9k/MiYDoyhL9z41AU6/nyh/+3T0T4i7aQpntr/I1/5
viinOgrC9r/e/idRyn9cWLaW3/wHzBW0UefdYz1dPDbkibycCOS//L/9yz9gl1dwVP71n3cPOL9X
UdPW0X2rc5p5vsLu4V//qdF7QXDLZ/b58eiki5r/OPyImvKjAxI//nJAIpMaQa6p4Vujz4Dz4dUB
CeMdfSDgZa5K4qq00L0ckBDzgkFDz8uvonKz81MvByTxBZUvP/ZsLMXU7vw/HZAgsDmmg8GP16OD
9O4hrnX6mVSWwQEZAEQyuEm/Y0wwYH27UDAcdQyHF8LkzUHx+Rz4ervOtEJ1yxTaOjq9XR527pq5
eFyv7Wzcj8ZoDZjmp2Yzs5l6llLCdtJax7zUEeOS49u61t6ubZcgu8Cv9l2tONUy6wyr2luWAkRE
NGh40epq9uw1EAeLclAJbANy5THnVzcjZeWmRrvkDUA3NnUoKo8MTDZWq6Tj2ltnMd0dsA10uLoi
qDeREkDhCuqCdLk8Y9Z6mddz+JRRJa6Nn0oBp1EV0v6eFQRuyn95WikyzQuFlBm0z5KDshqr83bk
t4gAKs1kBhKsE94YpXYcjmG9UHFdQHJKdkZfbRizngydpS3sVjntwv6rmRhXldtc1ui/grz/aplZ
zlGmKmjyi5OqFl4gqhN0dnTlgwRZJmGCwWgdD/S7HBUEXR8UIOootFWORDPhebVJ5GQco0FMbeS7
RXUgajDeQoc86Ua4y1YyHYcluC/hg1dxUu0xTAsQOa6L88GKoZdhzA6EQdLnOJqb3PDn42oqj3tf
2YxZQqpuFGyy1KxXQEyXwVx61RDtCdjhkGag2w3wGM5zvfPr6CI0q3QT5yZ+QbJ/6lkmWzfaLm/G
2qtD8gLr9jg0pBEQRNP91CcNWluCdlTdWo8lt+qoRZ6gzqdyzAGj+LuxrPYDISILDUwRWiIMdDhg
wITF5qUppgIDp0CgmZNZl/uuTnSzaJeQU/eV1StMKFCDJgjrilR9FFb3wIzB2dSplR0bLg5oDChm
dF7mTrbSRhGZ6MyA7NiacuQmsbZpHPU+UcLdbCmnrWZft6GySUPfWjgThqLEWXYGEO7MOe/zfO3G
+iqufU8qVzJrSLYoQjfO0OqryuCDN3N726j9N22GEVgS/GW77ne6J3scQ/gP6/GIquZs5kV7Ld9n
2EFngV+sVO70RnvEx7YrxHxi+LhC7a+j/71w5iNkac7axIFa2+Z1NYP67scffQeeqXWw36DZMfXp
LPBjDctIQv5C4t6mgX5rID6h06qduCLHZCQOVbgFNhcuw7kzUPhVa8K1r8isuxak0owBhwAzDM5E
j3MOdABleo9smSMPTVIGRr32tVTCK8fJrpVS5rAPazson3R7PKpc5WgcwQ02sXVUxe4mtdIOHw6Y
0kLrdqIT7YUY4iPenwy9+W50JDhPBsUWkvtwrRslsFQxJluCy/TbYnDsm8YpIlxa0+QT401q1+jb
cOvGVPMEyMAFKvFwVf1M1pRR7S1a5EonCW2QCZx9aUannZDG1LSWEZ0Y9OQTRoYfBFeZ4unIPM9Z
JnuGpvVVaXTL6wn99GFfeb7MAW2F23AzQyjsZUoo2YrBMtDNi1bFrmxUZIkGPamiGvGiCAEvM5k3
CmuwXPQygzRxxY1FJinf/KrqlHlly7xSB+Xx3pcZpuNcRrD3ix8C6MPCqiaSTrEwDcK8UgMyUJt4
gttLLGos81EnGZTaFj86glNjAlSdWCfKjkhVyQQ2iFglaY/mWEzqZPtk18MBd2a8DshMWxhDeqvH
3ZrO8vdiorpwGvJbtUq292JqviZ3FjFS3Ia412mKlkh8vbjSHzKrHTclOrk47297w0dISx7XHHXf
G0yUJVGyVTKsdaJlNSJmcUl+M2XmLFkMl2M6neSE0baVxgM+xN8CTH7RwCM6jvue+NpA5tiqqXXR
EmxrNtbtGJqnRSyWDsG3AwG42oDQzMa30guXxYKQXL4NLyc0FwsrzBlidClPTHqNaGZbInYDmbUb
ytTdmCRYJnh8gjKRN8jtK0xsR61htUvQVbfsBMf4kJkDR/kZkuZ2W8QB1leSfg213ppE/7LcrJRu
RHzOu89C+wTXw7YmLFhrzVu37JkQFMvSSQ4GocJJJhaNTBnO9OROcZQVSfXbDjn+AkLknUowMZ/1
KpJJxbRUjgTRxY3MMI4FuGNCjWvT+u4j/+8xD4q2v/QxUTDfmdeNzEPOovBMJSDZV5lWEr/+XRUx
tSVeeZcw5YpQZUJD5lVCzDI40WoLwU6Kqo1VTBRzRySz5RfHqsxo1mVac56p2qKQCc6qzHJ2cDR4
iVPf5GqIlU11DqpMfh7yqjpuZBp0K3OhTcu6j2RSNAge5WYoLe4XmSM9qbQqDZktDfDUXunPgdPD
pO/JOPqblB6pz4LHojPTMg1oHO/nWlpialmGt/I0jlFUf03cH8L8OeT4y0bQu4P9L5eQ5curnsDE
XWwlHZdQKybs9qErDwB7Xh0zz34WV6/HuO9O9n9cw1IpfvBmgSJ7ew1d73DJu1FwUOFeOjZdLRSo
V9BKP78MPbvXld3zZZD5AUdE+SNnDm8vExQxDq6kJ6YCc0JFBF+DCluprjtxJl04VoMQ3fypyvrf
riU2j4XE1Tdva4f/n0sJeeD/pJSIHgGA/lqAyJ96qSAkdZ9uKPgVB33MsxfwzxarBpDf0Z/DY2lA
vlbNuF8YCoEy5twNXv9NBeF+4UV0KQgAHQS2zP07FQTc5je3i+Rz2FCTeS3UocjpflG7GWEW6kWk
Hihl6L5lM8d47XsRPDCrnU1On7WVn+BlkPNiVz8ZSv681u2DpeWHDuUGe+hF2rEvNDMnMmXcNEl4
k0NUZAJ9YeTOvnTRaDT2rWYJ5jYjo1I7OW5NtvMApR1m4+66HPMrmm4A2Fw1XVbYEFaImW+ZmGLK
1o/NiWGsVt3NuMy0eL7RhUIRMbYwK3KPLcdeJnO0bTp2tTifb7TA3g5oNpYkXp6NdngbZ/n17BQn
blzdMEHP4EHrTwr26KruvhIgzY7YmWvY7+vZns8iFxgF72xTulgSYDAQRdpaeBixxtv+sGuhwDMV
d9hd4D5XyrpuegcAhvO1GiCYlBhudsBRNbBe4jhWU1b7QdnidCISm5Q8BkYcVMVI9HSPdsi6GMru
Ymqz+jo1p7u0xBRnVc5REKrf1Mw8duQ4plTHPWYECMOBrXhmnG/bXolRocAPE83OckHGV755NGkP
nJG/B353PTkmcCkBhh1gyPdEJeQ1rYw9yuxHw6YJzRp1/TycG1TRLxXhr1sAs0yRestTx2kbN9OG
sFCv7KMT7HiIVINUrIYpiC1cOhRT9Wk7tuisfDsuNq0ZmSNnRRDMsyjVdlc4OE1b20XvrrcccapC
rQE8RILxVdOA1LhL+2rYxa2pt5i5YYguRmOYsFjqBVHAqQhXQVhV+FDdfdZVlacWxn0e1hUR0vTD
DIFUmk2N/zdw5pubexLuxdJNqif6vmT5ckqacoIKbG3qUbITPz2X07Ft2KdKqDvLFkMnxlmgFEp4
k47iNndGGJ5jj98uCemaYz4RlfkQl80TbIHHua2nRW+nXwNLcCsYxp4ISUi+1Nx1rkRePLSGJ8z+
bNQNImLdZCvC+tZJzHZtKCJFo+rcTq1OPKygFrPs4aFx9GGBc2TkzgEwkkeNs1RjN9ingXIa3Kb9
Kg+CIzT0D2JEu5txv3CIN5P52MrzTVyU5yQMcOhJxutSMBC1ikAWLQtEp0j3VeubX+IYN/kTRxu+
BXN1HvnpchKwmYfmNgcHDbZfgWtq23O04qXGhUqmhoKJdEEQ8EJRQuLS67FfdAPfOGXZRTcVwS4J
w+PZyk/nugQmWj4heamXqegZnlRTUt8/L6f/7Cuypf3ZvoLdaCq6D3YWfu7PnUX7wnSM8xxZksiI
5Jzjz53F+MIwj9bTz91DNsT+6E0Jne2I6GKYhyjJkCHT7/mjNwX56TnghX4Ssz1NpsC8tOr+ON3Q
5fvLE5X2rMr9d4tZ7iwkBLCFSXM8slCLTt3rM5Xmd9QltVWcjbUK4aEXw0KUAgOsGLahDQqjnybc
ROrA3kNX71hNM6hGFkYr7LtqcRPBpd3TlhoXjWFUwBItsTXHrjkdEr98KFtKCTtleQpTG49jgPqT
WGQF33UGheisqbP2QCyIuFVUq11rPkIsYsU1bGu5n58mQek+OEp4MY2peQg0mgE6sR6b2bGy69aZ
TB5BGxaDbnb7tgntHUHIzLDtjgASzZyKr6RyY+s2Gv2xMLv0xlTTfBuYDY9y6Td3PRIxwM9O5Nm1
O2zsGHkUjaHyfMADk3Z4nIMoKFf9oIn+AHFX9PcYO0NxrOF1mMY1ZXe3oYnQKY8icOMQwGvaYS33
m7w+2CG8IjvQxhAsvAtmZOjgr81QMOzh1HGVggZRIMJRYFSnlmaW0JcDtQluoejYUnLK4qhLpx/4
dqvM00nacCt/vLWG1LhDAGIWtLqsfB2EFltKZ02X7VDMd8yaaKvneqQSjMy+EgWau/HLPvjBnRQt
1Xye7/wmnB+xHN7USrXOg+hIsYtmlWlAdQazhgleDgHxZVo3bRJKapgb7XSSFGO5Mls3gR4ICjzl
oBFE6yZrDXQkfQbZKam+CTtKd6mrXRsQQralwjE9VId+YTo1eepxY106hLDvWqV1r0u1sk5Ht1JX
7CauutBbEyQqHjDwR6n7Q7GBERtpC3l7zA6IqJRV3fbjpleUZvSGtKraFcbpkhlk0eym0s8vwK/h
rAST8z0AvLGaXTu+HuEKndixiEmMQVui+Tbs0FnW0slc3M7dqBxz8wZY6tDMxUHt36CWH67zuMY9
WozRpYIL7Czs03qZIxNKV7kQfUM5iYi2R9vRQiwzm1WApxdJTm5a6MHgf1j9QqTGkT0OxjluTsxo
amFpj2VRzusqAu7vlg1AgYHslX/W4udxgfnpGf8r04Xuo0O+/LGXpRj9O718Ts8ohmgcSrHEy1LM
BMGU0wDO165UjVKuvYwJxBdXJVqL5RZj0880lZcxgQFbROhwQgzIjc9/9W7p/WwpflvcShiIHGHg
nMLOZsrAnbcL8aii7KnrvDudAcpw5pUHb+zJ2c8b5K9X/OfS8s2K79omEljk/GB7QUPKX+RVFa2l
hGtbsShP1c50r5OwUiySLdJp3qKBNeul0ead2NEwmS9jnZgLOvriW+zYwW1ZxIzboe8da7Z84u3a
HM/CybgwpqIH9zMFdoMzNG6M7/1YWc7Z4Fd9v4414uh70UcLK1FSZotpg4W+LAvdK4YU4z9tOyRm
UePnN1EyuZ7pzLW6avJ7MxXDqS3K9IAsFKCcViYp2ew+4QsptY6SMmRY2NFQGAe118zkpE/jQ93S
5cP3Mi5D98zQ1Ef47A95FaxZXK5sOjA5mA5TsYqNDhaOjNjIczlZu5lnjtnOn6ZqZSQkSzWEGqRT
9RQ64cVc4vDUy6fO6C9TLWBWL+r41k5YN2V08l6xy/q0akzrKI1ciimCvuZZZ4aqKMaTIKplK/xQ
PYUoTwBhj9qObo3Joi7FAu4ppH8EtrrTr4Jo1jdtbl9PmnJDUnm1KuIQx33bBjr1joE2K6CT5emU
gR7GH16ixZ2fWPV1LVpUtJaThxdN0EP8s7Wauksdb0RKCjDOjoIKL+nqlVBqsHLmfFFZrXMUKrAJ
Xp2DPuih6L+Uq0zPOL0w9oLPanBbv73FoK1UQQAf4LTxsruhXmiX86W9gC64JFVsC6mJwsHjYODV
HmmZR2JtePrWX/52EMwT/bbLQsK2DMUDEIyKBEvf298Dk8bQEQxRnPp6cIQjY1wmAQkJ5SCAd9mJ
61W9D4ROt2qKakfdB3btH2l8RwA7ICDa06nrq9PC0efvmMnddUMqxLptyzWZIN9tE9M7uJcQE8P4
rUphzuk1GRx2ExurcfCBb4VoOUwywCYDkIUGVgtjR4XgWiYxbGcDz7eub4TMHkDYKbV3YkkE2zYG
qVgYuHsLMt6GITjRfbbyJI+0FS5+VB1xs+IhPh1G19hUAZB80uKvA0J0wFntu9FRpdpvoybcaLZb
wdNT48vPv+J3Ygv6V2jOkGSxXiKLNd4rBdyZA0mZ+fWp2qOfYSEgN65WySSIQs8sqKJFFdCT+fN0
/dFdJVtv/164/ohffXXNd9+mMnLW61GPE/5hYOlg8NAFxWpu7K3IAFtXPsg6qy4XNiWpmTYtHNN8
wrTd0UZVzBPCKm7UiDNY3yhPPmw+dDh7vbDOVX++N4PqewbQaFWhnT3+Z0/+uSejV/nzG/zFrXb1
GN5lH/TdTH7qZUvW5XgeJi5o9xf94suWjLRRtdihZNAA3TfZEnupjtQvgh3MccDl4lAypffjZUum
JcfaY8vqiZVHUFP9nS1Ze3uby+oINpjs4yEtcCxLpnG+3ivzlMIJnoZz6N0waVaxYVxjOt3Gea4c
dWngIdDCqiVBen7f7cZh0hYF2mNP692j1iTwA46Ltg7i6cpRimrTxRkYOC1KFzixvbgr7wN91DSq
gm70NzCPOmVlKN3XhpS/iykjXcGqLf+E3AhrF4/2yqp0qF92X+9NXXSkb+nherS1H63fPKmEMm7L
IT+tdXj8S6toEg8y4sWkjefQ+Kzzil4DqvEBjViakzdLDSWTyWhEdC7KZLd0FwiAPGdM1nHQKVuN
DCYvziIoQV30oOX62K2anl5jm5PXZJFKCSGSAMzW4JCQ+Ll28HVSxsYu58+g229tLdUWJZefo5SA
F05lXIV8xJn5gXR9wAs0BppdAD6KkD6Fvm3rTAIx9Ls2NRA6Bn65KNrehO5HWA3WaIZxx72iEl9s
GfEyyqppM4e4wOoOrVkHdrDGNOOpjnJdzg3EsHoLuNjZmdV8BiJmWhmW+82o7PuiLk4r5oyLWguP
2MXO0LhfBT0esWGoV33iPtWl2KmduzebocF8xxFJy4W9KdPiJh7SIyuPbse4ZWTuKk9j4MhYGncd
pf13E6x2mdvVThMhk7ocjlBu8bH0KYWSEQbhSYT/cZFUTYQWvThzpvhrotoZdh76g5hsRk9xXGJU
C7C0c9OQ59ncOhb8WzZwLwkitPRBFBK0UH0t6GGtMzVlyOZYwapRxyvIDIgPdKCoUa+2HiL7fmml
MEMC0Z2VkqKqSp4qaTv3omxvekCrGS3StW9oD6VksKKbaI9yNi9f8lmZzfVrSzJb5wqkUcLtuumA
FKB4kHDXSHJeS2HsiJFyNyT7xUuDBJLdCBZ2Ag8rwMQakhfr+oPtaXFDHqzVPA05QEVMfdmSZ79c
lpI5GwHjIb3PXVCKuzA/eUZIuUqBeECr9bVqSS0I3AYWXgBrbRU648EAcauDug1B3lqJs1NA4Hb6
LstW/rB3ec1GtJdlBS3XApubZNY3280O8IxTwvriaeWD2E00Egglcjdvb2zJ4C3Gln03Ll2vsd16
WeAUWLRxvi6Scs9waNMo2TX4qV1SBSdtVmZbDdxvxGhfB/8rOkBEtiQC1yNpXak+H8G9ug2hB5sW
7QCLJKldXNknupudQsLbpBI57Ej4cJEkMz09gMQBhgrQKFq066AV61CLNejFqTZW9BAAGluQjYVt
fuvIUtIzkMeA9tzVKDHIYIXMFSkjlN0Skqx07QYqB2NNax6XCiTlwfK/zRKtXJUgvmdoy7PELsOt
JB+IsK8SKrM/14+VxDTrc0pt7+qgA3FFQGZJFi4f67KH76zDeW4HRKyGRD/3cSNWSQ8xMIELTfbk
sYATHYWhzfgXdHQKpEmFJT1bxpUP0XlZS8x01aYKXWrtAvEUlTlnJeht57qEU2tQqi23AwJFG6TK
Hd/TGyxgEK19yNZ92NDalajr0jmKJPzat7PzFH7LaEfKUQgfO5KgbLUdjyzI2YCaAE2NxARj60+X
Vo5DNpWo7VkN90gkiBbzi3EF7+spmP0rzDMGvHEawYaEdo9h/FCXtJ8KGl+qBHszrNGXOb274wGg
zLaF/21LQulczeeTRIMrEhKeuMHlaERep6MTgSLuulm/FmV9hA0b8JkWBgxRgI4bg0UWm1WYaz+b
bjJ6tOiV7yrSezejhJY70MutLrvWzf5ktgt+VEeY04u1TI3sC+eYkEwmAX67BVmR0N2wIk4+6may
tfsZaroZsGZzUvQsWtGVVj8Cwd63cNZneMwUT8weJ/SrhnZbIPRBSpNA7kJgkahbG2a7GrRr0XMT
oBxh5eZ4FYHENSXofZzsqxLy+yzMx6RloYwMi4jIVKpraBq2zMA1g+P/2LiHGizPRhfD15T7FumT
ADEmWai9TjCwW5/XZt/Tc59RVE3BHXtn7RVRSI0HlNFD2mcdHEdxNjS+9E3d1BSK2qWZd+Qrz+41
NKzbOKGNXrMuLBqA8SAMS40VRIMG7/xgLDRuarde8/v9qGMUXrlTPFDh4ruMoTrmoTGfQngzVz5h
wex56Jz4u6EMj1sQPQsGKUujVArPzboH30owB9rVA0HNhzh2G2It/WTZ9v4esFpHnvEUrt3CpZob
W7Hw4w5dTssK5jvmaYhKZ1WWEWD4qFgXXbCd0Kl7Nuuk4pNDqOSXUzGHCOTi74ld3uN2B+VMmCSK
+w3nCL4Dv7/UTAInq57sLYLhdmUbshXngihAjkbLSMNeZSlac3BnsQqI6EtknKWTDYfRRqXekHSp
GlGGCap8cpQcnDJpmAP2B0+pyKcMSMpMQpQbJVoCVYZo1vD4WM0bsjVFH27CSJjKMu1g+iKecKvT
IiW621rUkcpwKo6qfobL5lbhT8X5P3MGQSXz1+foyyK9+yjyV/7Uq3O0hMmSesOJ+d38Wv/CjMwx
bM7YWNQlAuSlteV8kf9Umg1RyAJRouX0co52vqiGxjFa43guD9J/KzUeIe6b0o1ztKzDcUqqNAPg
Nb03CQlOBrXo9OngtEF9ZsdsRZFW2jdFKvSjaUiS20lr7bXT9up+oJm7wC0XrshvmL/a7tBehmqR
omyE0Pnf7J3HciNZkrVfpWz2kRZaLGbMBgFNgirJVJswJskMrXU8/f9diqokE1ndNeACv1mjF22V
JC8CF1e4Hz9+DmVUb2FJDchByMbBKfAsSQJn12mKd2oYnCTa0PD3HTDfnF4kJALzYlgTU20HdSo5
HIJmjXxXfBd6MjW6rPfm8ggXqCrq4VsaBP42L4VQqtREczUj+69tu4AaOX5yVDQtBfrupdYWIqlN
AUDqTzKu30WV4yc64D4LG1w+j9H4nLUhp7FjlvEsCI01NBD8fB2N6EKOpgb8IYpQUFN6ndYeiDvT
5KOkX3wNBt9DWq5zw7jYRhxuqLJl8UadnB6ClaVe+Ir/RY7HbdhqFddJdmnkpbwI5UZaNaY/bSe/
1bZBIFuLREtOFKmsNyHMrLkcBPoqTjJ90amqtzYV6uGI08fbMi36mZd3l1OFsX2RYDPYSsY0kwwD
wTs7p/jvnEUaZYVuZHaklnpM2BfaPA0VerJqFbMPqy82ZVBvWzX6BqVgmKWIR8xIqaKF4hfbwC+n
xvU6vjA0vat5IsXy0jOVdaRLNLtUvjsYePk2Me6VU1vcIu0T7Tg8H6Q4lwWpCZqVgQdpz6UTR/5H
U7MuU4tbOh6Gldoln1Rquw7inrg5Vmpy3pXKRa6iQOjXFt4Q4aaQIClTYQAbMBZewfuY4hRPOt3f
1TVuB1aWntSa8mAYebuszf4jkTEC9moX473ODZCm8rnlO+sszVedZpxGAzAfBqWB0iJDmviKa3rm
BRXt5eSH5+kU4kWNBa2DpDFgz7gz8BooYukGLgm1rUE/oRTOT1rvW6pW37UeApoT2HeDhZmvMd6U
DoDP4BV0GxU1ar2ZOqZnZWzktQuhiNgdhNQFzYaXSeRy6hBRsyvSMD5VaH5vZ+2Ipjz+9NocFHA4
9ZEe3PwH1HgENYQK998dxlm+D9QQf/XnYawCagi2DnA5OOibfk0oZWAdoo/xSZvir8MY6hFeK7ql
oF4BcPrqMBYoqmizpMqAxtI/ATXwqHh1GD/2OYLeUfelc1TDEOoNxQ0l2aSIEZg+h8rHAhJou0uA
1d5VUbvodCp8curFazoAQSwV55PXoFToEWbPDcP63qTJRwuK3EyV1XnbII7mFeH3VpI3dVeexhJC
PJVBgwFhwNwzu2aJG+q33hr8Va3inZqW5absKLhN4bnWSBuUM3c16jpKha9o6yEc3Y34Hli1vc7C
aDFRErW0Zt70Zu7m0nQRm63nJmF/RSvgVzwdJOgW2eUYSyAvhXQtBRCSPfKRGSkk7FrzJIm+gH9/
6325RbYnuqorpDWrsnbhn5/gX5osEH9ejXmu7uRCPw/CSZ/Jin4yGcVZl7Undu3dF05/EtJEpJID
XepD2VHq84gR0WD1VelrXxkLqCLKbTXi1dPHWMPX1adQle99PIwII7WSJDy5GSzpvkW3zM0TZx3H
9m5M/GCh8Bk8Od6FU3FbR3m97Lw4XPSwjdxALekCMDwMn0lyKkjd3I3nddt/g/oLwclSTwe7XDV6
nM8wMc9mHWITdu1DOzXOY7WAQN5P67ZXZHecnE+R6Szb3tj1BHFyY3dubUeXEE5BnbPh1K4nWCe2
vOi94ksY4ExN5RlSkBN/Kmtq93HcfDEmVKiFvEZTpz9yu9ohvu+fBrFP6xNsoAy5UFLUxlUadV17
kFzq0r9WkwqZJtAQ22qcLdlOsaA9/z7zrY++N67aGJXKNE+3Y64q1DikB6RLBH1laUbNZ/5tneWU
QPTOtrF3glocRA1WkFFy6gzptXmaKzFhPOKxJsHNPNC8ACON+gdctHVkVQhVgwtRPPRRrYx3Slsu
irwFBonJNzqp/qh01QpRkq/6qKwcn0O5sA2spJAXb3LqVlmW0mYbjMuyRkKtmRKXy3kxBhZSJeBY
kNoq6j2Iwkep1yzUUVupfn4SG/oycZANjwlI9LjfRkETuUE1nlUOc697Jw0azaD0yA7fgWJXn4Os
EVIDDm0lZp5ZV2oh26TXdpVKlzLsvCskpOAKKUO4bDR5SSuEOWtV70fsI65LPdENcjRQZVICKxs+
1Wb1vYnhIhR5fsm9tcJC91Ipko2NorELDDYvBjQPNKubI/hULW2jOVO0ROfD0VNiWRK9HBES9gPG
2B6UECexJnzOa1huYTpv8oFMarwdTBoqhuGb7RFlOeMNXzRQeyRtxlA6zUoyhVjaZHCk0W50/Qj9
b8lbR+mIni5eroMN6qhPW61oPitlBcefHiM1HZZdSr1cC6nbhyV5VazCWLdWPe5E4C18IZ8a4W8w
tEL6mHpJu6FZGQQys+ZjWs+D0PmSRqImUgX0GCANBR+dfqiU1GyKszWMgzOKbnd1r7MJkHYZrGIR
EyBpxbjT22iDcgyds6qMo1Df890aQGG0ZNfVXVt159Fgz+tIv5ZDHyb9WJ1OMa0+OhxHPWYXyjSL
lIPiUJOTPxqt91CaxFNOB+kB0Qe3tro1zEfAmBKNCy298OSpoyUIh4UQpWkEY9xAb3e9lZ0M6AnP
UuAW3be/ou87a0x73RKKVKO8cqz2IjS7z7JabDwcvJHDsRZxlHD+DZk0K8z8Smudxg2nCtF3GIN+
tE44AIuwO/PM6RqToVmpNpee2m6rksS7hOQ5QASkark0zWqhIc+PEVE3r8EhOYW1pWM0J9BHljY0
GNehS6Es5O+JR6dCo7bftNBOXHg42gZS+oWSYXTs+5fAOKeOPXbuhHz20pz6rWzGroXZqhsXPnxR
KXQ2mm+0KzonL7REWlLfvcDe+IemTlDhi3mNyVNd2RJGSiiF9FJzPjbFRWPZN0PYBm5qGK07pIaD
BJyafIkxW5/7Rfcjqls6wGTAhgz6Yn4aOCimQ7a/alEhU8Pqh+GPi7ZVirNgGJZlNN3EikpjUBd/
4gRe1JlxWUleDkfP+SqZ1eehHE7otMfRrk1JyAvIiUpwQnXcDQaQod4/0ZuGY1wfNziSEkYrHqLA
gOR1/KlLUGSbK7jBLaUJ83Ib8d9EDjd4wUWUItNpPuTBvd5p7XzsgKGoO98603SuVDQ6EC74c19V
lhhURTNPK39YDTGp08Q7GP0cl+OQzfFh/5xH6gWlhysc+HpAUx11z/oOssG8kfHXkcbz2hw2E5Ce
W1nIStEXdjOM0qdiyK+TEKirz7R5kYTwfsb+vItRp9cn++OUEecnbdReVqBGSJRb0VoXUvKmh2mD
myqIGD9Vy35LUHi0qP6rzCdyRRPonTYzmjOhpVlv+Al1idXn6GjOufIxnX0xlt1F6U4z4Irb66t6
R9PJIqeMHJ4aq34erPNlsDX8dbQLVv8JcJ+qdn+LNnxtv++r2b3GGiivEb0SPqJZJCQr/6zZKTBs
TFn47SAd9FguewlvHX7iEBOLL/aNjpKN2w7i+PjqQKex/2HNjs7eV+HtI9YAmGEi3QqjB+Ylj/5z
zS5pqkYe8kE+b6L8C1i3sTJjTTpRpbaY0bhSkDBTKeckdc6G2KuXeY6+RFPr2yo3sPLLwNlD3TFO
K4okM92OcdjozVXXtx8Teyh2FQYVRUcNqrHvlC6WubJ6svtWmJb0G8ezl3imyPOCTs1WiEJkjqhz
9PpNn1VrPQyya7gRqLUXxR0CPCd5W9xUil64eopRnumXd8mI9lpe64D0fb8eimGg7SwPskv6mFdK
pOsXkmaeeGbvLJpe9ty0l7y5pFSAyElJCtrcWq1/56U2rV9jhljQWJQbHPgQ8cilqyaxE3xcMB1I
zQC6uVZxv42WNfdCU3eBs2EPeiM1FZ02UUe7r0PzklbSM7sJg1kRxF9CVbtucqeYS5H6UMTUq7zJ
v6mwSAiBGlqcBGfppKw5Bu9lOc4gJQfr2MEqU4aDRytcmvkn0eRcKxGECUN0YFaqfI3Ap0q5S982
QdG4iefhR9AYt2NbD1ya9RfYk9zoBedTaWA7qMsXQMjKPPDCy9ChYUZKe7vfjiNtaCOEZxniswwB
2p7Ck04worWovmpNAtLBkCG3ViluNRCoI2pjVBESROFIe1A4ImTKKC2jmoGKVby28wpDkKy2zx21
GFdY8CBNZ9IQnJXOzq+rB7Xs5JkzWf6l1MYyFRXjzgE0OCtH9UdCJg8qagJhBJHqnCUIgLpYnmFG
EdN02hhpvMySrNj6cX4epFXhyol93ks5BSsTRqQ/5j+o72izGgX9tlLPoA9m9Lmi6dGEsEOUNuei
MaRVNHSE8Er7zSyCT7hrtG7VUkNTgwxWEf2FaHOq1GCoQhLjf7Lg/yte/j31vVUL/rfVM+lSsYsf
Onq9bUCBrxxsN4NT5MpNpW3MpNwUZrodGmOh+9r5qMTnyF8NrpMQksl59FnuvRsjleo1aDCqv5J1
UzW+wWOrp16h1oS5LY2fZRrBI5av0rHZytiClHF0FYb+wmyTr71cfQe7y2n6xVF2rLszu4rbeWVS
PcjlbGfYTK6hS1vKqPrKlKHhtM4YQ7+3TuVSuYOho83rZvxcaCqUZaVYFjUCx3kzlfNx6DaxN8kk
OfJZn/TfA+Z6YWqFRw0HE4VcLb5oWbFzuPhNGyco+MJQfry7RqZ5tqJfRUr60gWayQGf2pNhjEvq
vknsZqNx34h8qqSlJLWj09KrVFxdUkAjiD1RUH+zo/KExOxGiadPilRf8nxUA3R0TXtnVw1ZMueB
5/7U9XOH9MQmnEZBSb6qHe3b2DjFORThxEVbbNhK8Sht8pQCdQafuovLjzrE46CIr2wzM9wi1ckd
dM2rN57FKFMVGOvU0heVV7YwF6SEyqh6GckqTe5wwd1SqQH5cit28eZCFhZfFFf1LYrxImLt6Uv3
goRakD9cRkgbYNIg32H4+yyD/R9UX+di/BsgqbmlXSS5bWuAozfSGOIv/wSTZKG/bOEL8Oe9+dNt
q4tLVn/WM4Sc8nLbAt9bVMKQWaYUiTIXP3pB9q0P7GloM2SnJpRTrKj/AUNG035B9tHOgKQDQ4a7
G6EuQcH7iU1KO60WV0OSn7dgI9MOWUEjOlN0OVIXDVDRBTlc17hoFpwZlNaoGd3pMPgXlZped0oC
rqukp6VafU3GfJvU2VUI87KRVMQEIm+HjPWOCJWdZvUrX8MYparjUyjln6coe3DCepjlnVr3ghhy
iS3aUkmpKwaU7lr6queCIwNtINrB0J8NmGzPK63LlO8IP82GrveTZe+DmGwQra7CLV35jQ8hQEIh
QO4cqqhpoUV06ksyCaHZFRsrtNJVaTlbE6sd/VrzGks04/URascOfQGnVRTWX6Pew5a501J12bVd
NAE+RCdWDQvETRz4JDQbGBJOdXYVrUlaKZaVlS+XKJmaNFLTbPS9NVNQoyT7bBWkNw0ND3aHiVoR
mreFl3tzqy/Zk3bSL6kz7KhjlK5aU2oEY1mUEzS4gGpv7nU3qux9kqpp01jSVYc9adb1G33M5p1E
V2tvIJCDA5NdmG6VqPg/h7fUOE+QUZI4Odtda5GBWhJeEQLtQK/7qmulDerHi8wjIBCyAlqFTGC/
xg4EXCddox5y6jvZWaoOZ22OQ91YXzlBssbp6QbHYlJ8C/anf24GcOhhTH5MCrq/snCeFPKqN+qr
qsFtdaDlzNQ/p+TVsmPfOna9TXCmoYKJx0nk/MiUfKEn5pmGWw0GxCu9mFwlr3ERqi+cuPla1bTy
Yx1UUNHMrOBsyjGlQCnBMSjy1vq6HtTPU5/vOmxdYEcQJOg49uJIHARnkZef1ZpzgpXFEnBzC2K4
Kkz5m2pESzoMd4XWfPdzO6JtDicoy7nGSRgikrKConOqdJAO6Y48a1Wka8vorDLVy3KkcDNJN0ag
bRJ6x2ZJiy9inG5qRST8NtyY8sHRa66n5DNw4U0uB1eoWyy9wjhF22aptine0x1uc6Ny2uuoSvAQ
rpMp9JQrp14Hx8RSYD41p75FihmSqQ7BJq+hUqGN8VBZ6lXnDFfVGDszz++MS8tAgMXsgzPT03ej
oeIOkKCkDtaAYlqo5qg9iq6fmTGU57JpYDvFkmodfZPAnHQxTqSUUTv3oz+c0RI4J3AFqfEvh7Ix
5wM9edgbWnOtLL810cjy00wK3t4K1HRcSpr3DefpXe9gPmGn7XUM00CTNNBFvanRDp9QFwGgnmkp
lWwpwLS46KRsoQbKztP1K70C3sXQDZ/ugW+cDoyLqJBWtZ7OC0wnoXvFEqKiuNsAwuyaqF3FHg15
QFAyuCTOSJgzhyqVOKetL0ovGN1Mr09UQir4LfVJkmIv4sWnWimtYC4sUrM8K1QskvoyvUN9hi9j
kubA2P088kYmqzEvjcTe5A2UX8RstFkWI4cHH7jBwLt1cxkteTUwIuCd4jQN0duIgQloePnSWAR2
o5rS1plOZ8RhuyEO700NxFWyIUMXqKgMYYDyatRdmZn6CZGerUSma0ttskRBmGgx7HeGg9h8p3MC
IKGCKl6RoRVfeu0M7/ByGbXjaV4q/czUwvM4Lm86szXdIBiufdNgvUOdy6TG7RBK8BKmJihTSC9V
dANglblOSIJAqb8/nXJKiYEBdvOfHPspx+bC/f3df90mt9XDr/e+wV+93PtIlZOMQmyh8KM8cVxf
7v3HZhUNpStsFEzEiblyX+598wNFInJsWfDdbVvk5i/3voF3LcV+cnZWFumx8k/ufWpFb7Js3pi+
RJlnoDuRotQblIaTXi4phtKukuTQi9AcoQUKknpMx5bcoWlUJaiNeKE75t4urDD2NJS+dqusu0jr
fGM5noSIJ6IHTlfOayk8CdpohwlsTzwefiRzvO/wLXelvLNmkdSnmKuqWHMKTRTZ9N20xglvkFEi
oSpT61+cEoMFO3BgMgqc05GmJTZjEvpIAT3IFUmej88Y9gKfDDv7Voz5TRegtZQ3deF6pvmpQrA7
G7LPjSN99jJUmpCX0LRw18XBKR3T3+qcTpzQsS4qzbhLgHIXKR8Mn5PQXNHivG2V/Gs6yiOyv9rE
sKKHJ+kR++hvRrWoFmiwL3V9wuAy0npX76E3xpJ9jyOiMbcT87Rukms8/GLX9o2FEdtXeejcl7Vz
ERq0MKslFrqyHzULr6d5sOhgAGR3XpN/9Uq09PLsjtIh5bO48hdthkFGbaUXfuGsw6Ce4cv5LVGR
0ykSu5j3JtWSvsjvesXBahvLzXSseowVtGk+6ikk1hKyE42np7jtbUvdO818KtZwzJZj3i/lqt/6
jrP2VeNqnLofoR49oLp4rQF3oHz+JfWndA7F9AxCquvIgAt9TylFlSPcE+kJuoTOuguc4QdXYT4n
tFrlsie7bUXFLpXVz7pvXOkNDrB2GF/rvvqjVc2OeoL4c6NtlySeX1Lg+DoHjCXw5ZJGMwjqcwR9
OvmaI5+/RPTzjEMXx7TYQqhAoewvwzMwp3gpWwWd3ba8KpsAdDdGQ6gt+NbSRu1dqCvzVocTWSLl
ZIZ1vfLq4iT00nI7pTGxJ2e+KKhdWQnYY0aAUOr43E4eKgMxvGbohsCnUx2BmLLiDDoYXXtiEY81
32GqFv6ir6aP6J/xrplNdbJbenL7cbK1bdjH2sxS4UnXpQfim6D7g3rUHaWWLzYy/jPLLL7LCt7H
We65VU+C18vhmlKcRFk0WMsZXh+SFWeuLOcrkxKBIqNKWcuSsyaAxHOwsx/SqDzFxb6bFTWefpXT
bEwfe0S1Bbzx0+EmL42tp9ILw2pMuTOa7zXUcFeuFCocUzFdpFR8TvQshmgJs8jfJCrez/M47j/j
LFl1iMHVQfiJafCac7URFpJmaGhL00vl7NpCdTCf601BYo6aax24CIdbF9DeQpgTJTI6Wjn4X0PK
g3XCEprpge6dFbgKRg0MScxX8W3314EFrzIoZaEoZgyXSLxtPb8MtcVgQcxAOykBULfNuty02MyY
1IHRvnEhQCXpvB41dIuSS4zQhnIlR5r6Je6hM+9AYVrOmSRQ5oNp3cl+i/VwbI4V6gS9lzsTdEjd
KDFYVS3/Wm6spP6qYtToUW8EYoGikpreNwTMAn0nq9TsYNYPbfGf6/JJC9Lg9vj9dfk1T/YIQIq/
ebksaSPhwkP5EYcrGBQGjIaXyxLxbBpMuA/JeVH3Fy5bL5cluDOdJ0i0CPRZSKz8dVnaH3BmF6w5
5CT5Jbr2/0GSDK3pzWXJALTyw6Gg91S1LYeH+DlJbioayhM1Gs7ph6c6Zzdzy6uuGzUN3EjlCJ6U
LL8OyYfZNWn6sW69ai3JClXHyUP7GGNLH9pbMyt17Qyin4xLEdWX0YoeNMTLEMqQzZOg7L47bV9c
5yNAVlwmw4Xj+4UL+mS5Tuvl13rd7SqZdd5kzrxD7f089fGl7vvMv6Ioma1a7E8Wfucp81pRbkBx
k3VC5RHnT21FJrrRRvvaL9tqOegI7JERY1YYDqnL3fON/v1+7QjH30kNb0qd/CoAfl42k9O6Ukw3
psIUnIcKdiPYijoYoOeicqbSBp2iX90XuGokvoY3UIaCuO9DDkT2HjGCCAy9TU9bmj1iB7IFTbSz
Jsd8JMem1ggAelt9EVu+vFD9bhtXElpv9idmc5fnNJDIDX2POQRqYvPgm9HplK0dcAMcRX3cxHHm
SBZF4EOB88OPjQ72RR0S+ZBMsbBW8tfxRMuoZKYPmo9Ny5CZW7MiI2gmemjwAoiWDVH5MvB6hC6N
6StfdATrr/iYS96ZTv8+EPRaQ62OT6Lde2N9IdVZdxrbdjWrGmFo39tn2uSACnrTmZHzlTYFtqRj
T8eC9p0Mm1w1vpO8AiQ0CLZYop6bPVRh+M3NTPHpJZd6dWNQR4OSiwpJ7zvn6DI2rpqKAiT8iCGF
OGFp3sxQgq+FP13qOpo3Je7b0jBJsy4jMWR9YABvl7F9ro0cjN9FfW7cWAQBCyvwTxB0maDtK5U/
R34SDoZlPEgwIsLWRjFHGinu0mzoOZEBMz/ZotldzSyDhho1VU41iwwo6ZCK9GSF1k/DDlejEUPe
JAWupUm9qgyjIw2pMqrd8V2pQnzDQWJchOmIcSwuWgSEXNzxxCTTJ7yRxrp0UYxR3J4N7sqsVM0v
rpIsG1jZ+mawnRpFglS+zgIPERVdXyt5NswqI6Jh2DHTuer17qTL2UwbvYdxVNehZBub2DCuq8aj
MydrXCvWXGpMZ3ptJJteN+Af9K08sxJzI9mVfm41I+1OSBu4hRIimlnpH7sYkNhrjFNyM7KxbHRc
WTK2FWISW2XMT0o9UTZlHvItNbiMaV9qxTuXen+JJsGwJCxcNUjQU99Nq1U9wlCESz63y+R7kBhL
Oy/Y6myTQjAs1RSXcCiXg+BexpJlz6neKueBYGZ6gqMJERttGgpY3IneWVdK+Qw/MygqDm72GXiC
RpIHeWu4HJUaGaKyIN4bJ9y7BD9ULhsMXOtcX42+B3tU8EiLMjtB8shajIJjWgu2aRkp0krPYaDm
ZXFpSnDsJ8ipkux/KaRUu1CjcHA5/eKNRFHNDSC1SgTAvmC5mtBdSyvyf9QQYJ2AbXxpQYqdHumx
qC1Alf3/Jd18RsP3iin/KRIgfnqRh1lznS/eyjH/W7/0ckftH+j36sw/Z6JQpIF4X13Gj8/0KA39
d0MktyhIt/coP2vWB+5VSlSI2zy+ICAmOUIiTz+mn5xisIKgGZkjqoG8fv4a9z/8r6LUv5up/+sk
iNz7DQ4v1KL/8Uwwzk9TgeUiBsXoR5CTi5f46c9TgfAc6Qa2FvpTVf6nhfJ/+4D/zkT9/mvcMwnG
W+GNf2c5vJ4EHf8S2Gr0GDx93aASryaB9YAqhyKbonrAhB/fJIjv7cCVgMKIwtdMnLl/EkQMy65R
FCEQfoSTIB774EmwcNPSgaXggjy+CLlfrQRhdUNByxIFqyOcA5KMty3v/3w3oELjoBip/G4hsBvo
lsGy13raece3G36pbP7zScCCCLM1pgH+jniJA+PVuaiggKaSMgnBtONcCU/b9InX9uel9S+uydfn
IlmmyEoR43n76WWWwKPO59MNepwnArvh6cs5ZA5ArEGjDZK2pxOBM+bVQhC7AfcEw1aeMILj2w0C
+j7wbqBcD27hsNqfJuHtBcmxSNGebhLlaHfD4XcDFyQ4jYKE9JslID49tRBOi6O9FQ6PkQiBRBjI
tfCbA1FIQtogSEKv6ygPRAGtHbgPrA+Abo5pY6L8+PplH6D8YkMUVcC4xOtoz8WnYP6Ac1FXPlgg
kpYqzgXx+iVSIqiWdY1I6Wg3BY984HqwP1goboM6Ps2BCEBfXQ5kT5yYEI8ebeKOdz0IY6/DpgLZ
V8G21pEbfDsH+gcU+CgH0xr4+DrS4+EXv6d/HjQa5JGqqTjCmel5+79dDqbJKlDUp9vo+GIF5fCg
UWXJqwjrkS8/vsAoXk2CYnzAi5OAisjyeZKO8roQDqeH7QlwJuoqdCGgzvWy9F9NxWPtR0ZSU7AW
j3ISlMPvTJOUWiVyQjN87ySgekpobeI4f6yxo3I4zGZ80BCpEHJtT5uCbfZqJZBFiAibbpWnS+kI
T4bDb0sdowoVLQ8dCFe83kZPrASRUdNg/gRGHmv0pBweTZsf+KYBkl6m4m3gwHqAUY1Dh1D8O86T
4fCskjXPLWHBEHvaFJw1rzYFxyOEMAUZgqej+Pg2hRB9PPCOIKukIY3g6CljEJD+60mQP/BDVPbt
p8TraDfFwdclIaQO6ChMMp9ee6bCFAIUMASPdFMIYseB60HQKlXEvPXf1KZIKVgtioKb5pFOwjMG
dEByqZkfKEoBp1jPYMPb61LYIZkATtTnjnUSnh7skElgJQiRFoN21b3XJccj0rJsBnGRHuUdIUzR
D94OfMusA/v5UHi7ErgoHRMJXjS7nmbpWKfi6dw+ZD04HxQRQlsIoT2+3k4FgsRE2YioCSzmKNeD
EEI+cD1oHI8yEkXPcbRA2F5dl9DS0VSnUds61pPh+dw+YCWAvXE7CGa7+bTmf4Fc5A8G+vY6+cSx
roTDTwY2Pn36YG/PhRkW/auVwB1BqMAsaUcLSB8ePZIxUYf9E4/+BYXleFRRB0e64Gi3w+F5hPmB
/lNEIOVnDssvcSOqDwaWakgYHul2EKDpgQcjK4FuWZ2M8TfBM8wFYmeZm/RIJ0FYmR44CWBNBu1I
hI5PByOL/vWZwMkpQzZWjpbN9Iz/HHA7aGx5JEyhMz0Hz3u2A+q2OtfDsabVoi3swJWAdZ2ou+Bp
97QSfsGaYPoYmkx/2lNMcnzYwnON4JCVYH/g5BfT8JxL7lsJotmOLs+n17GeDIej0EgJoylAyvic
JvwSLYiYSvwPlFa8jnVVaIfHDNTjKNTTU/IMu71dFYTQABAyK+dYl8NTfnPIziC3JrPWcT7+zW2p
MAfAs45z3Kjbc2x7yFRQr6Pr1qBm9+ayZB3gkm6zUJ5v0yNdDsKJ7sDbgtQa4z1o0M+5xNupgPtq
ElewHo71ynyuIB6yECy4K0KT7OXr/uWIJIJUUVFxhNsrE358V6Z+eFap040H2M6t+eeV+CqCFIUZ
B/khzAmP+soUzYIHbgr7w7MEz+/SqseTAx07QQ89zvXwtFAP2xSiIEmF6neML+XDo7SQcbS0N/3w
4Ak43tIRU3jBm345HuH+gTLQ4Xqsx6N+cG5JdQrCO/ch7qyPL6b11ckAHM9lKSNqcbSTcDDUIlh/
mrCAfemP+CXBVpHRhN5DdeZIzwTj6ds55EwQQLwCgQlUbf9KoFOGmrXNajnSSXiGPw6ZBIE8klkK
2O3xxVH7djtgy0PR+mihFuHzeNgVyZkAi82E1fKbaIEzgZYq0CblKc841sDpmbh+yHqA0aLJ4mP+
pm4tkGhHXJXPNfLjix6Ng6MFQYKF10M29Rwc7gmhBQRL8Hi0K+HgO0Kjf8yC7MfnfHskcHtg8IXi
8T/49P/GOvmz99gNwuT+sTUZQ8THTqenbtN/+QsvPbm/DvBTz+1j5/Gr37wei4ensZ86c8V//8/t
fRpm87BuqvCuUR+zpJ9++pI1Pb7T898/f8Rf3/zVm718rpd/XIcP1W11h+btY1fw84Oe3aZ0OP9v
wv/d377tGBZY6Mu/iff+7/96/bA/nYd/Pzr+bw8vA23u//u/qDloAih5+bdDBk9v7/PqZaCfBmfN
/DWP/8cnnyGJuO/BieUOHtu9TW47vpL6Zayfnp044PDx86Stf/lKmXWyr3cYPGuq2z/cvG72vQU7
+eC3mD8kf5zl1d75JyY7ePxF8sc8r1g8L2P9NP+cwwePv6wwWd03ONnQwYOvkocsexnnpwd/j+26
btPveXLf/Dq8aPs4+NE3afFQhbfJy1B/Pb1oJjh8+GzcM+mCl37w0CcP1Z45F5yJw4cOM3/PQSCY
wwePfXob7znDRPvpOwxd1w/75uQ9NuhpXv/xv5n/kDzsm5n32KK723sO4Jd5+GkhvscW3d1W4b6p
eY8tKsYu8n2nu6DQHfy17h6y+/wu3Hd6CTGHdxi/unu4fxnor3kXrX+HD57z7C/j/DT2e2zTXb53
Tt5jlzJ081A9jHue/D126tltsWehC+jp4Ak/e+huf40dcWF9jy16Xt1yBLw85U9f53ts0Yvk9u5h
T+woSukHT8tF0qb7gjvtPXboVUjoWIf3e2ZGkCYPfviPt3cVKUHW7LlLtffYpR9vsz9mDwh97nuD
99iqT29QZbfV/d6DTBTG32Gasj/m4YO/70O8x64VH2LJDrgL67t97/Ee21e8xza/Ldt9t5X2HntY
vMNpG9Z/nH8P62Lf53iPzSzeZXfbPOwb/z32M+M3t3/Mbqvvt/tiBlFLfI/1xHu4qGnvOaxFGfW9
3qFqp5fB/jpTReXn8DcIbvfmhKKicvjgYBh7p+ZdNnNYx+GYty/P+dPEvMte/jvb80dI5gAU5COB
yW9tfA8e/F9Zuxz8BgJm2XMPC6bGwWvm+iG43Tc1As4/fHBi/LDZE7QJcPjw0f9OV//QSb9uAYjS
fbicQNwPfvZPjNDu26tCf+/g0f9GQvnQefkbw8C/H3ofLPsn6+VXsPZF2HDfn73GosVv3CUPt9X/
/D8AAAD//w==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emf"/><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2.xml"/><Relationship Id="rId5" Type="http://schemas.openxmlformats.org/officeDocument/2006/relationships/chart" Target="../charts/chart8.xml"/><Relationship Id="rId10" Type="http://schemas.microsoft.com/office/2014/relationships/chartEx" Target="../charts/chartEx4.xml"/><Relationship Id="rId4" Type="http://schemas.openxmlformats.org/officeDocument/2006/relationships/chart" Target="../charts/chart7.xml"/><Relationship Id="rId9" Type="http://schemas.microsoft.com/office/2014/relationships/chartEx" Target="../charts/chartEx3.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304800</xdr:colOff>
      <xdr:row>2</xdr:row>
      <xdr:rowOff>57150</xdr:rowOff>
    </xdr:from>
    <xdr:to>
      <xdr:col>10</xdr:col>
      <xdr:colOff>327660</xdr:colOff>
      <xdr:row>16</xdr:row>
      <xdr:rowOff>160020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411480</xdr:colOff>
      <xdr:row>8</xdr:row>
      <xdr:rowOff>53340</xdr:rowOff>
    </xdr:from>
    <xdr:to>
      <xdr:col>10</xdr:col>
      <xdr:colOff>381000</xdr:colOff>
      <xdr:row>28</xdr:row>
      <xdr:rowOff>0</xdr:rowOff>
    </xdr:to>
    <xdr:graphicFrame macro="">
      <xdr:nvGraphicFramePr>
        <xdr:cNvPr id="2" name="salesbygender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99060</xdr:colOff>
      <xdr:row>9</xdr:row>
      <xdr:rowOff>80010</xdr:rowOff>
    </xdr:from>
    <xdr:to>
      <xdr:col>17</xdr:col>
      <xdr:colOff>60960</xdr:colOff>
      <xdr:row>23</xdr:row>
      <xdr:rowOff>91440</xdr:rowOff>
    </xdr:to>
    <xdr:graphicFrame macro="">
      <xdr:nvGraphicFramePr>
        <xdr:cNvPr id="3" name="salesbygender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918210</xdr:colOff>
      <xdr:row>6</xdr:row>
      <xdr:rowOff>60960</xdr:rowOff>
    </xdr:from>
    <xdr:to>
      <xdr:col>3</xdr:col>
      <xdr:colOff>925830</xdr:colOff>
      <xdr:row>22</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A92C2F2-3E57-455D-AA3E-84481175F4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8210" y="11125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415290</xdr:colOff>
      <xdr:row>37</xdr:row>
      <xdr:rowOff>152400</xdr:rowOff>
    </xdr:from>
    <xdr:to>
      <xdr:col>10</xdr:col>
      <xdr:colOff>933450</xdr:colOff>
      <xdr:row>53</xdr:row>
      <xdr:rowOff>91440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BEE262A-6512-4624-AA64-F0E3F60BBC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18070" y="66370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381000</xdr:colOff>
      <xdr:row>0</xdr:row>
      <xdr:rowOff>0</xdr:rowOff>
    </xdr:from>
    <xdr:to>
      <xdr:col>21</xdr:col>
      <xdr:colOff>259080</xdr:colOff>
      <xdr:row>15</xdr:row>
      <xdr:rowOff>114300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1173480</xdr:colOff>
      <xdr:row>15</xdr:row>
      <xdr:rowOff>0</xdr:rowOff>
    </xdr:from>
    <xdr:to>
      <xdr:col>14</xdr:col>
      <xdr:colOff>274320</xdr:colOff>
      <xdr:row>30</xdr:row>
      <xdr:rowOff>114300</xdr:rowOff>
    </xdr:to>
    <xdr:graphicFrame macro="">
      <xdr:nvGraphicFramePr>
        <xdr:cNvPr id="3" name="ratingbymonth">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579120</xdr:colOff>
      <xdr:row>10</xdr:row>
      <xdr:rowOff>68580</xdr:rowOff>
    </xdr:from>
    <xdr:to>
      <xdr:col>5</xdr:col>
      <xdr:colOff>38100</xdr:colOff>
      <xdr:row>24</xdr:row>
      <xdr:rowOff>81915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606040" y="1821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891540</xdr:colOff>
      <xdr:row>9</xdr:row>
      <xdr:rowOff>91440</xdr:rowOff>
    </xdr:from>
    <xdr:to>
      <xdr:col>10</xdr:col>
      <xdr:colOff>228600</xdr:colOff>
      <xdr:row>23</xdr:row>
      <xdr:rowOff>104775</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5288280" y="1668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4</xdr:row>
      <xdr:rowOff>129540</xdr:rowOff>
    </xdr:from>
    <xdr:to>
      <xdr:col>56</xdr:col>
      <xdr:colOff>230777</xdr:colOff>
      <xdr:row>54</xdr:row>
      <xdr:rowOff>20683</xdr:rowOff>
    </xdr:to>
    <xdr:sp macro="" textlink="">
      <xdr:nvSpPr>
        <xdr:cNvPr id="6" name="Rectangle 5">
          <a:extLst>
            <a:ext uri="{FF2B5EF4-FFF2-40B4-BE49-F238E27FC236}">
              <a16:creationId xmlns:a16="http://schemas.microsoft.com/office/drawing/2014/main" id="{404F0FC8-A056-4EC1-9C8B-827341EE1FBA}"/>
            </a:ext>
          </a:extLst>
        </xdr:cNvPr>
        <xdr:cNvSpPr/>
      </xdr:nvSpPr>
      <xdr:spPr>
        <a:xfrm>
          <a:off x="8961120" y="830580"/>
          <a:ext cx="16872857" cy="8654143"/>
        </a:xfrm>
        <a:prstGeom prst="rect">
          <a:avLst/>
        </a:prstGeom>
        <a:solidFill>
          <a:schemeClr val="bg1"/>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32657</xdr:colOff>
      <xdr:row>0</xdr:row>
      <xdr:rowOff>0</xdr:rowOff>
    </xdr:from>
    <xdr:to>
      <xdr:col>26</xdr:col>
      <xdr:colOff>174172</xdr:colOff>
      <xdr:row>51</xdr:row>
      <xdr:rowOff>76201</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2657" y="0"/>
          <a:ext cx="17003486" cy="8958944"/>
        </a:xfrm>
        <a:prstGeom prst="rect">
          <a:avLst/>
        </a:prstGeom>
        <a:solidFill>
          <a:schemeClr val="bg1"/>
        </a:solidFill>
        <a:ln w="3175">
          <a:solidFill>
            <a:sysClr val="windowText" lastClr="000000"/>
          </a:solid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32657</xdr:colOff>
      <xdr:row>6</xdr:row>
      <xdr:rowOff>130628</xdr:rowOff>
    </xdr:from>
    <xdr:to>
      <xdr:col>3</xdr:col>
      <xdr:colOff>54428</xdr:colOff>
      <xdr:row>52</xdr:row>
      <xdr:rowOff>32658</xdr:rowOff>
    </xdr:to>
    <xdr:sp macro="" textlink="">
      <xdr:nvSpPr>
        <xdr:cNvPr id="2" name="Rectangle 1">
          <a:extLst>
            <a:ext uri="{FF2B5EF4-FFF2-40B4-BE49-F238E27FC236}">
              <a16:creationId xmlns:a16="http://schemas.microsoft.com/office/drawing/2014/main" id="{00000000-0008-0000-0900-000002000000}"/>
            </a:ext>
          </a:extLst>
        </xdr:cNvPr>
        <xdr:cNvSpPr/>
      </xdr:nvSpPr>
      <xdr:spPr>
        <a:xfrm>
          <a:off x="32657" y="1175657"/>
          <a:ext cx="2209800" cy="7913915"/>
        </a:xfrm>
        <a:prstGeom prst="rect">
          <a:avLst/>
        </a:prstGeom>
        <a:solidFill>
          <a:srgbClr val="11314F"/>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473133</xdr:colOff>
      <xdr:row>0</xdr:row>
      <xdr:rowOff>45721</xdr:rowOff>
    </xdr:from>
    <xdr:to>
      <xdr:col>23</xdr:col>
      <xdr:colOff>294409</xdr:colOff>
      <xdr:row>6</xdr:row>
      <xdr:rowOff>43541</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723504" y="45721"/>
          <a:ext cx="14832676" cy="1042849"/>
        </a:xfrm>
        <a:prstGeom prst="roundRect">
          <a:avLst/>
        </a:prstGeom>
        <a:solidFill>
          <a:srgbClr val="11314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baseline="0"/>
            <a:t>                                       </a:t>
          </a:r>
          <a:endParaRPr lang="en-IN" sz="1100"/>
        </a:p>
      </xdr:txBody>
    </xdr:sp>
    <xdr:clientData/>
  </xdr:twoCellAnchor>
  <xdr:twoCellAnchor editAs="oneCell">
    <xdr:from>
      <xdr:col>1</xdr:col>
      <xdr:colOff>678779</xdr:colOff>
      <xdr:row>0</xdr:row>
      <xdr:rowOff>137160</xdr:rowOff>
    </xdr:from>
    <xdr:to>
      <xdr:col>4</xdr:col>
      <xdr:colOff>617220</xdr:colOff>
      <xdr:row>4</xdr:row>
      <xdr:rowOff>45719</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0239" y="137160"/>
          <a:ext cx="2133001" cy="609599"/>
        </a:xfrm>
        <a:prstGeom prst="rect">
          <a:avLst/>
        </a:prstGeom>
        <a:ln>
          <a:noFill/>
        </a:ln>
        <a:effectLst>
          <a:outerShdw blurRad="292100" dist="139700" dir="2700000" algn="tl" rotWithShape="0">
            <a:srgbClr val="333333">
              <a:alpha val="65000"/>
            </a:srgbClr>
          </a:outerShdw>
        </a:effectLst>
      </xdr:spPr>
    </xdr:pic>
    <xdr:clientData/>
  </xdr:twoCellAnchor>
  <xdr:oneCellAnchor>
    <xdr:from>
      <xdr:col>4</xdr:col>
      <xdr:colOff>662940</xdr:colOff>
      <xdr:row>0</xdr:row>
      <xdr:rowOff>0</xdr:rowOff>
    </xdr:from>
    <xdr:ext cx="10066020" cy="106680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3101340" y="0"/>
          <a:ext cx="10066020" cy="1066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i="0">
              <a:solidFill>
                <a:schemeClr val="bg1"/>
              </a:solidFill>
              <a:latin typeface="Arial Rounded MT Bold" panose="020F0704030504030204" pitchFamily="34" charset="0"/>
            </a:rPr>
            <a:t>E-COMMERCE SALES AND CUSTOMER BEHAVIOR</a:t>
          </a:r>
          <a:r>
            <a:rPr lang="en-IN" sz="2000" b="1" i="0" baseline="0">
              <a:solidFill>
                <a:schemeClr val="bg1"/>
              </a:solidFill>
              <a:latin typeface="Arial Rounded MT Bold" panose="020F0704030504030204" pitchFamily="34" charset="0"/>
            </a:rPr>
            <a:t> </a:t>
          </a:r>
          <a:r>
            <a:rPr lang="en-IN" sz="2000" b="1" i="0">
              <a:solidFill>
                <a:schemeClr val="bg1"/>
              </a:solidFill>
              <a:latin typeface="Arial Rounded MT Bold" panose="020F0704030504030204" pitchFamily="34" charset="0"/>
            </a:rPr>
            <a:t>DASHBOARD</a:t>
          </a:r>
        </a:p>
        <a:p>
          <a:pPr algn="ctr"/>
          <a:endParaRPr lang="en-IN" sz="1100" b="0" i="0">
            <a:solidFill>
              <a:schemeClr val="bg1"/>
            </a:solidFill>
            <a:latin typeface="Arial Rounded MT Bold" panose="020F0704030504030204" pitchFamily="34" charset="0"/>
          </a:endParaRPr>
        </a:p>
        <a:p>
          <a:pPr algn="ctr"/>
          <a:r>
            <a:rPr lang="en-IN" sz="1100" b="0" i="0">
              <a:solidFill>
                <a:schemeClr val="bg1"/>
              </a:solidFill>
              <a:latin typeface="Arial Rounded MT Bold" panose="020F0704030504030204" pitchFamily="34" charset="0"/>
            </a:rPr>
            <a:t>Interactive</a:t>
          </a:r>
          <a:r>
            <a:rPr lang="en-IN" sz="1100" b="0" i="0" baseline="0">
              <a:solidFill>
                <a:schemeClr val="bg1"/>
              </a:solidFill>
              <a:latin typeface="Arial Rounded MT Bold" panose="020F0704030504030204" pitchFamily="34" charset="0"/>
            </a:rPr>
            <a:t> analysis | Trends | Products | Customers | Shipping</a:t>
          </a:r>
          <a:endParaRPr lang="en-IN" sz="1100" b="0" i="0">
            <a:solidFill>
              <a:schemeClr val="bg1"/>
            </a:solidFill>
            <a:latin typeface="Arial Rounded MT Bold" panose="020F0704030504030204" pitchFamily="34" charset="0"/>
          </a:endParaRPr>
        </a:p>
      </xdr:txBody>
    </xdr:sp>
    <xdr:clientData/>
  </xdr:oneCellAnchor>
  <xdr:twoCellAnchor>
    <xdr:from>
      <xdr:col>1</xdr:col>
      <xdr:colOff>88174</xdr:colOff>
      <xdr:row>13</xdr:row>
      <xdr:rowOff>115387</xdr:rowOff>
    </xdr:from>
    <xdr:to>
      <xdr:col>1</xdr:col>
      <xdr:colOff>926374</xdr:colOff>
      <xdr:row>15</xdr:row>
      <xdr:rowOff>54428</xdr:rowOff>
    </xdr:to>
    <xdr:sp macro="" textlink="Sheet1!G5">
      <xdr:nvSpPr>
        <xdr:cNvPr id="9" name="TextBox 8">
          <a:extLst>
            <a:ext uri="{FF2B5EF4-FFF2-40B4-BE49-F238E27FC236}">
              <a16:creationId xmlns:a16="http://schemas.microsoft.com/office/drawing/2014/main" id="{00000000-0008-0000-0900-000009000000}"/>
            </a:ext>
          </a:extLst>
        </xdr:cNvPr>
        <xdr:cNvSpPr txBox="1"/>
      </xdr:nvSpPr>
      <xdr:spPr>
        <a:xfrm>
          <a:off x="338545" y="2379616"/>
          <a:ext cx="838200" cy="28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bliqueTopRight"/>
            <a:lightRig rig="threePt" dir="t"/>
          </a:scene3d>
        </a:bodyPr>
        <a:lstStyle/>
        <a:p>
          <a:pPr algn="ctr"/>
          <a:fld id="{FBC0F51D-73E3-4F3F-B148-B9634D2F4615}" type="TxLink">
            <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rPr>
            <a:pPr algn="ctr"/>
            <a:t>2,400</a:t>
          </a:fld>
          <a:endPar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ndParaRPr>
        </a:p>
      </xdr:txBody>
    </xdr:sp>
    <xdr:clientData/>
  </xdr:twoCellAnchor>
  <xdr:twoCellAnchor>
    <xdr:from>
      <xdr:col>1</xdr:col>
      <xdr:colOff>4356</xdr:colOff>
      <xdr:row>17</xdr:row>
      <xdr:rowOff>94706</xdr:rowOff>
    </xdr:from>
    <xdr:to>
      <xdr:col>1</xdr:col>
      <xdr:colOff>1023258</xdr:colOff>
      <xdr:row>19</xdr:row>
      <xdr:rowOff>76201</xdr:rowOff>
    </xdr:to>
    <xdr:sp macro="" textlink="Sheet1!H5">
      <xdr:nvSpPr>
        <xdr:cNvPr id="11" name="TextBox 10">
          <a:extLst>
            <a:ext uri="{FF2B5EF4-FFF2-40B4-BE49-F238E27FC236}">
              <a16:creationId xmlns:a16="http://schemas.microsoft.com/office/drawing/2014/main" id="{00000000-0008-0000-0900-00000B000000}"/>
            </a:ext>
          </a:extLst>
        </xdr:cNvPr>
        <xdr:cNvSpPr txBox="1"/>
      </xdr:nvSpPr>
      <xdr:spPr>
        <a:xfrm>
          <a:off x="254727" y="3055620"/>
          <a:ext cx="1018902" cy="32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bliqueTopRight"/>
            <a:lightRig rig="threePt" dir="t"/>
          </a:scene3d>
        </a:bodyPr>
        <a:lstStyle/>
        <a:p>
          <a:pPr marL="0" indent="0" algn="ctr"/>
          <a:fld id="{E9AF84B0-DAF7-4710-8CA1-A655A275D25E}" type="TxLink">
            <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rPr>
            <a:pPr marL="0" indent="0" algn="ctr"/>
            <a:t>11,997</a:t>
          </a:fld>
          <a:endPar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endParaRPr>
        </a:p>
      </xdr:txBody>
    </xdr:sp>
    <xdr:clientData/>
  </xdr:twoCellAnchor>
  <xdr:twoCellAnchor>
    <xdr:from>
      <xdr:col>0</xdr:col>
      <xdr:colOff>57693</xdr:colOff>
      <xdr:row>21</xdr:row>
      <xdr:rowOff>60959</xdr:rowOff>
    </xdr:from>
    <xdr:to>
      <xdr:col>1</xdr:col>
      <xdr:colOff>1110344</xdr:colOff>
      <xdr:row>23</xdr:row>
      <xdr:rowOff>119742</xdr:rowOff>
    </xdr:to>
    <xdr:sp macro="" textlink="Sheet1!I5">
      <xdr:nvSpPr>
        <xdr:cNvPr id="12" name="TextBox 11">
          <a:extLst>
            <a:ext uri="{FF2B5EF4-FFF2-40B4-BE49-F238E27FC236}">
              <a16:creationId xmlns:a16="http://schemas.microsoft.com/office/drawing/2014/main" id="{00000000-0008-0000-0900-00000C000000}"/>
            </a:ext>
          </a:extLst>
        </xdr:cNvPr>
        <xdr:cNvSpPr txBox="1"/>
      </xdr:nvSpPr>
      <xdr:spPr>
        <a:xfrm>
          <a:off x="57693" y="3718559"/>
          <a:ext cx="1303022" cy="40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bliqueTopRight"/>
            <a:lightRig rig="threePt" dir="t"/>
          </a:scene3d>
        </a:bodyPr>
        <a:lstStyle/>
        <a:p>
          <a:pPr marL="0" indent="0" algn="ctr"/>
          <a:fld id="{10B78147-B3E6-4614-BC06-8D15E9D0E0B3}" type="TxLink">
            <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rPr>
            <a:pPr marL="0" indent="0" algn="ctr"/>
            <a:t>$649.0k</a:t>
          </a:fld>
          <a:endPar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endParaRPr>
        </a:p>
      </xdr:txBody>
    </xdr:sp>
    <xdr:clientData/>
  </xdr:twoCellAnchor>
  <xdr:twoCellAnchor>
    <xdr:from>
      <xdr:col>0</xdr:col>
      <xdr:colOff>194853</xdr:colOff>
      <xdr:row>25</xdr:row>
      <xdr:rowOff>62048</xdr:rowOff>
    </xdr:from>
    <xdr:to>
      <xdr:col>1</xdr:col>
      <xdr:colOff>1101633</xdr:colOff>
      <xdr:row>27</xdr:row>
      <xdr:rowOff>2177</xdr:rowOff>
    </xdr:to>
    <xdr:sp macro="" textlink="Sheet1!J5">
      <xdr:nvSpPr>
        <xdr:cNvPr id="13" name="TextBox 12">
          <a:extLst>
            <a:ext uri="{FF2B5EF4-FFF2-40B4-BE49-F238E27FC236}">
              <a16:creationId xmlns:a16="http://schemas.microsoft.com/office/drawing/2014/main" id="{00000000-0008-0000-0900-00000D000000}"/>
            </a:ext>
          </a:extLst>
        </xdr:cNvPr>
        <xdr:cNvSpPr txBox="1"/>
      </xdr:nvSpPr>
      <xdr:spPr>
        <a:xfrm>
          <a:off x="194853" y="4416334"/>
          <a:ext cx="1157151" cy="288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bliqueTopRight"/>
            <a:lightRig rig="threePt" dir="t"/>
          </a:scene3d>
        </a:bodyPr>
        <a:lstStyle/>
        <a:p>
          <a:pPr marL="0" indent="0" algn="ctr"/>
          <a:fld id="{0AB3EE7A-7843-40D7-82C4-2E2F09315BE3}" type="TxLink">
            <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rPr>
            <a:pPr marL="0" indent="0" algn="ctr"/>
            <a:t>4.0</a:t>
          </a:fld>
          <a:endPar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endParaRPr>
        </a:p>
      </xdr:txBody>
    </xdr:sp>
    <xdr:clientData/>
  </xdr:twoCellAnchor>
  <xdr:twoCellAnchor>
    <xdr:from>
      <xdr:col>0</xdr:col>
      <xdr:colOff>0</xdr:colOff>
      <xdr:row>28</xdr:row>
      <xdr:rowOff>163287</xdr:rowOff>
    </xdr:from>
    <xdr:to>
      <xdr:col>1</xdr:col>
      <xdr:colOff>1208315</xdr:colOff>
      <xdr:row>31</xdr:row>
      <xdr:rowOff>1</xdr:rowOff>
    </xdr:to>
    <xdr:sp macro="" textlink="Sheet1!K5">
      <xdr:nvSpPr>
        <xdr:cNvPr id="14" name="TextBox 13">
          <a:extLst>
            <a:ext uri="{FF2B5EF4-FFF2-40B4-BE49-F238E27FC236}">
              <a16:creationId xmlns:a16="http://schemas.microsoft.com/office/drawing/2014/main" id="{00000000-0008-0000-0900-00000E000000}"/>
            </a:ext>
          </a:extLst>
        </xdr:cNvPr>
        <xdr:cNvSpPr txBox="1"/>
      </xdr:nvSpPr>
      <xdr:spPr>
        <a:xfrm>
          <a:off x="0" y="5040087"/>
          <a:ext cx="1458686"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bliqueTopRight"/>
            <a:lightRig rig="threePt" dir="t"/>
          </a:scene3d>
        </a:bodyPr>
        <a:lstStyle/>
        <a:p>
          <a:pPr marL="0" indent="0" algn="ctr"/>
          <a:fld id="{4329EA0A-31C6-483E-8F65-1479CC62C796}" type="TxLink">
            <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rPr>
            <a:pPr marL="0" indent="0" algn="ctr"/>
            <a:t>2.3</a:t>
          </a:fld>
          <a:endParaRPr lang="en-US" sz="1400" b="1" i="0" u="none" strike="noStrike" cap="none" spc="0">
            <a:ln w="12700">
              <a:noFill/>
              <a:prstDash val="solid"/>
            </a:ln>
            <a:solidFill>
              <a:schemeClr val="bg2">
                <a:tint val="85000"/>
                <a:satMod val="155000"/>
              </a:schemeClr>
            </a:solidFill>
            <a:effectLst/>
            <a:latin typeface="Arial Rounded MT Bold" panose="020F0704030504030204" pitchFamily="34" charset="0"/>
            <a:ea typeface="+mn-ea"/>
            <a:cs typeface="+mn-cs"/>
          </a:endParaRPr>
        </a:p>
      </xdr:txBody>
    </xdr:sp>
    <xdr:clientData/>
  </xdr:twoCellAnchor>
  <xdr:twoCellAnchor>
    <xdr:from>
      <xdr:col>0</xdr:col>
      <xdr:colOff>160018</xdr:colOff>
      <xdr:row>8</xdr:row>
      <xdr:rowOff>54429</xdr:rowOff>
    </xdr:from>
    <xdr:to>
      <xdr:col>1</xdr:col>
      <xdr:colOff>1665514</xdr:colOff>
      <xdr:row>10</xdr:row>
      <xdr:rowOff>97972</xdr:rowOff>
    </xdr:to>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160018" y="1447800"/>
          <a:ext cx="1755867" cy="391886"/>
        </a:xfrm>
        <a:prstGeom prst="rect">
          <a:avLst/>
        </a:prstGeom>
        <a:no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baseline="0">
              <a:solidFill>
                <a:schemeClr val="bg1"/>
              </a:solidFill>
              <a:effectLst/>
              <a:latin typeface="+mn-lt"/>
              <a:ea typeface="+mn-ea"/>
              <a:cs typeface="+mn-cs"/>
            </a:rPr>
            <a:t>KEY METRICS</a:t>
          </a:r>
          <a:endParaRPr lang="en-IN" sz="1800" b="1">
            <a:solidFill>
              <a:schemeClr val="bg1"/>
            </a:solidFill>
            <a:effectLst/>
          </a:endParaRPr>
        </a:p>
      </xdr:txBody>
    </xdr:sp>
    <xdr:clientData/>
  </xdr:twoCellAnchor>
  <xdr:twoCellAnchor>
    <xdr:from>
      <xdr:col>0</xdr:col>
      <xdr:colOff>206827</xdr:colOff>
      <xdr:row>11</xdr:row>
      <xdr:rowOff>106679</xdr:rowOff>
    </xdr:from>
    <xdr:to>
      <xdr:col>1</xdr:col>
      <xdr:colOff>1153885</xdr:colOff>
      <xdr:row>13</xdr:row>
      <xdr:rowOff>97970</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206827" y="2022565"/>
          <a:ext cx="1197429"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i="0" u="none" strike="noStrike">
              <a:solidFill>
                <a:schemeClr val="bg1"/>
              </a:solidFill>
              <a:effectLst/>
              <a:latin typeface="+mn-lt"/>
              <a:ea typeface="+mn-ea"/>
              <a:cs typeface="+mn-cs"/>
            </a:rPr>
            <a:t>🛒</a:t>
          </a:r>
          <a:r>
            <a:rPr lang="en-IN" sz="1600" b="1">
              <a:solidFill>
                <a:schemeClr val="bg1"/>
              </a:solidFill>
            </a:rPr>
            <a:t> </a:t>
          </a:r>
          <a:r>
            <a:rPr lang="en-IN" sz="1600" b="1" i="0" u="none" strike="noStrike">
              <a:solidFill>
                <a:schemeClr val="bg1"/>
              </a:solidFill>
              <a:effectLst/>
              <a:latin typeface="+mn-lt"/>
              <a:ea typeface="+mn-ea"/>
              <a:cs typeface="+mn-cs"/>
            </a:rPr>
            <a:t>Orders</a:t>
          </a:r>
          <a:r>
            <a:rPr lang="en-IN" sz="1600" b="1">
              <a:solidFill>
                <a:schemeClr val="bg1"/>
              </a:solidFill>
            </a:rPr>
            <a:t> </a:t>
          </a:r>
        </a:p>
      </xdr:txBody>
    </xdr:sp>
    <xdr:clientData/>
  </xdr:twoCellAnchor>
  <xdr:twoCellAnchor>
    <xdr:from>
      <xdr:col>0</xdr:col>
      <xdr:colOff>121919</xdr:colOff>
      <xdr:row>15</xdr:row>
      <xdr:rowOff>119742</xdr:rowOff>
    </xdr:from>
    <xdr:to>
      <xdr:col>1</xdr:col>
      <xdr:colOff>1208315</xdr:colOff>
      <xdr:row>17</xdr:row>
      <xdr:rowOff>174170</xdr:rowOff>
    </xdr:to>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121919" y="2732313"/>
          <a:ext cx="1336767"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mn-lt"/>
              <a:ea typeface="+mn-ea"/>
              <a:cs typeface="+mn-cs"/>
            </a:rPr>
            <a:t>👕</a:t>
          </a:r>
          <a:r>
            <a:rPr lang="en-IN" sz="1600"/>
            <a:t> </a:t>
          </a:r>
          <a:r>
            <a:rPr lang="en-IN" sz="1600" b="1" i="0" u="none" strike="noStrike">
              <a:solidFill>
                <a:schemeClr val="bg1"/>
              </a:solidFill>
              <a:effectLst/>
              <a:latin typeface="+mn-lt"/>
              <a:ea typeface="+mn-ea"/>
              <a:cs typeface="+mn-cs"/>
            </a:rPr>
            <a:t>Quantity</a:t>
          </a:r>
          <a:r>
            <a:rPr lang="en-IN" sz="1600" b="1"/>
            <a:t> </a:t>
          </a:r>
        </a:p>
      </xdr:txBody>
    </xdr:sp>
    <xdr:clientData/>
  </xdr:twoCellAnchor>
  <xdr:twoCellAnchor>
    <xdr:from>
      <xdr:col>0</xdr:col>
      <xdr:colOff>66401</xdr:colOff>
      <xdr:row>19</xdr:row>
      <xdr:rowOff>105591</xdr:rowOff>
    </xdr:from>
    <xdr:to>
      <xdr:col>1</xdr:col>
      <xdr:colOff>1219199</xdr:colOff>
      <xdr:row>21</xdr:row>
      <xdr:rowOff>119742</xdr:rowOff>
    </xdr:to>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66401" y="3414848"/>
          <a:ext cx="1403169"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mn-lt"/>
              <a:ea typeface="+mn-ea"/>
              <a:cs typeface="+mn-cs"/>
            </a:rPr>
            <a:t>💰</a:t>
          </a:r>
          <a:r>
            <a:rPr lang="en-IN" sz="1600"/>
            <a:t> </a:t>
          </a:r>
          <a:r>
            <a:rPr lang="en-IN" sz="1600" b="1" i="0" u="none" strike="noStrike">
              <a:solidFill>
                <a:schemeClr val="bg1"/>
              </a:solidFill>
              <a:effectLst/>
              <a:latin typeface="+mn-lt"/>
              <a:ea typeface="+mn-ea"/>
              <a:cs typeface="+mn-cs"/>
            </a:rPr>
            <a:t>Amount</a:t>
          </a:r>
          <a:r>
            <a:rPr lang="en-IN" sz="1600"/>
            <a:t> </a:t>
          </a:r>
        </a:p>
      </xdr:txBody>
    </xdr:sp>
    <xdr:clientData/>
  </xdr:twoCellAnchor>
  <xdr:twoCellAnchor>
    <xdr:from>
      <xdr:col>0</xdr:col>
      <xdr:colOff>101236</xdr:colOff>
      <xdr:row>23</xdr:row>
      <xdr:rowOff>72933</xdr:rowOff>
    </xdr:from>
    <xdr:to>
      <xdr:col>1</xdr:col>
      <xdr:colOff>1001486</xdr:colOff>
      <xdr:row>25</xdr:row>
      <xdr:rowOff>76199</xdr:rowOff>
    </xdr:to>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01236" y="4078876"/>
          <a:ext cx="1150621" cy="35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1"/>
              </a:solidFill>
              <a:effectLst/>
              <a:latin typeface="+mn-lt"/>
              <a:ea typeface="+mn-ea"/>
              <a:cs typeface="+mn-cs"/>
            </a:rPr>
            <a:t>⭐</a:t>
          </a:r>
          <a:r>
            <a:rPr lang="en-IN" sz="1600">
              <a:solidFill>
                <a:schemeClr val="bg1"/>
              </a:solidFill>
            </a:rPr>
            <a:t> </a:t>
          </a:r>
          <a:r>
            <a:rPr lang="en-IN" sz="1600" b="1" i="0" u="none" strike="noStrike">
              <a:solidFill>
                <a:schemeClr val="bg1"/>
              </a:solidFill>
              <a:effectLst/>
              <a:latin typeface="+mn-lt"/>
              <a:ea typeface="+mn-ea"/>
              <a:cs typeface="+mn-cs"/>
            </a:rPr>
            <a:t>Rating</a:t>
          </a:r>
          <a:r>
            <a:rPr lang="en-IN" sz="1600">
              <a:solidFill>
                <a:schemeClr val="bg1"/>
              </a:solidFill>
            </a:rPr>
            <a:t> </a:t>
          </a:r>
        </a:p>
      </xdr:txBody>
    </xdr:sp>
    <xdr:clientData/>
  </xdr:twoCellAnchor>
  <xdr:twoCellAnchor>
    <xdr:from>
      <xdr:col>0</xdr:col>
      <xdr:colOff>1</xdr:colOff>
      <xdr:row>27</xdr:row>
      <xdr:rowOff>37012</xdr:rowOff>
    </xdr:from>
    <xdr:to>
      <xdr:col>3</xdr:col>
      <xdr:colOff>21772</xdr:colOff>
      <xdr:row>29</xdr:row>
      <xdr:rowOff>10886</xdr:rowOff>
    </xdr:to>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 y="4739641"/>
          <a:ext cx="2209800" cy="32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bg1"/>
              </a:solidFill>
              <a:effectLst/>
              <a:latin typeface="+mn-lt"/>
              <a:ea typeface="+mn-ea"/>
              <a:cs typeface="+mn-cs"/>
            </a:rPr>
            <a:t>📅 Avg.</a:t>
          </a:r>
          <a:r>
            <a:rPr lang="en-IN" sz="1600" b="1">
              <a:solidFill>
                <a:schemeClr val="bg1"/>
              </a:solidFill>
            </a:rPr>
            <a:t> </a:t>
          </a:r>
          <a:r>
            <a:rPr lang="en-IN" sz="1600" b="1" i="0" u="none" strike="noStrike">
              <a:solidFill>
                <a:schemeClr val="bg1"/>
              </a:solidFill>
              <a:effectLst/>
              <a:latin typeface="+mn-lt"/>
              <a:ea typeface="+mn-ea"/>
              <a:cs typeface="+mn-cs"/>
            </a:rPr>
            <a:t>Days</a:t>
          </a:r>
          <a:r>
            <a:rPr lang="en-IN" sz="1600" b="1" i="0" u="none" strike="noStrike" baseline="0">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to deliver</a:t>
          </a:r>
          <a:r>
            <a:rPr lang="en-IN" sz="1600" b="1">
              <a:solidFill>
                <a:schemeClr val="bg1"/>
              </a:solidFill>
            </a:rPr>
            <a:t> </a:t>
          </a:r>
        </a:p>
      </xdr:txBody>
    </xdr:sp>
    <xdr:clientData/>
  </xdr:twoCellAnchor>
  <xdr:twoCellAnchor>
    <xdr:from>
      <xdr:col>3</xdr:col>
      <xdr:colOff>54428</xdr:colOff>
      <xdr:row>6</xdr:row>
      <xdr:rowOff>130628</xdr:rowOff>
    </xdr:from>
    <xdr:to>
      <xdr:col>10</xdr:col>
      <xdr:colOff>381000</xdr:colOff>
      <xdr:row>22</xdr:row>
      <xdr:rowOff>87086</xdr:rowOff>
    </xdr:to>
    <xdr:graphicFrame macro="">
      <xdr:nvGraphicFramePr>
        <xdr:cNvPr id="21" name="Chart 20">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511629</xdr:colOff>
          <xdr:row>9</xdr:row>
          <xdr:rowOff>76200</xdr:rowOff>
        </xdr:from>
        <xdr:to>
          <xdr:col>16</xdr:col>
          <xdr:colOff>97972</xdr:colOff>
          <xdr:row>22</xdr:row>
          <xdr:rowOff>10885</xdr:rowOff>
        </xdr:to>
        <xdr:pic>
          <xdr:nvPicPr>
            <xdr:cNvPr id="23" name="Picture 22">
              <a:extLst>
                <a:ext uri="{FF2B5EF4-FFF2-40B4-BE49-F238E27FC236}">
                  <a16:creationId xmlns:a16="http://schemas.microsoft.com/office/drawing/2014/main" id="{00000000-0008-0000-0900-000017000000}"/>
                </a:ext>
              </a:extLst>
            </xdr:cNvPr>
            <xdr:cNvPicPr>
              <a:picLocks noChangeAspect="1" noChangeArrowheads="1"/>
              <a:extLst>
                <a:ext uri="{84589F7E-364E-4C9E-8A38-B11213B215E9}">
                  <a14:cameraTool cellRange="Sheet2!$H$4:$L$9" spid="_x0000_s1062"/>
                </a:ext>
              </a:extLst>
            </xdr:cNvPicPr>
          </xdr:nvPicPr>
          <xdr:blipFill>
            <a:blip xmlns:r="http://schemas.openxmlformats.org/officeDocument/2006/relationships" r:embed="rId3"/>
            <a:srcRect/>
            <a:stretch>
              <a:fillRect/>
            </a:stretch>
          </xdr:blipFill>
          <xdr:spPr bwMode="auto">
            <a:xfrm>
              <a:off x="6999515" y="1643743"/>
              <a:ext cx="3635828" cy="21989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239486</xdr:colOff>
      <xdr:row>6</xdr:row>
      <xdr:rowOff>108857</xdr:rowOff>
    </xdr:from>
    <xdr:to>
      <xdr:col>24</xdr:col>
      <xdr:colOff>87084</xdr:colOff>
      <xdr:row>19</xdr:row>
      <xdr:rowOff>97972</xdr:rowOff>
    </xdr:to>
    <xdr:graphicFrame macro="">
      <xdr:nvGraphicFramePr>
        <xdr:cNvPr id="22" name="Chart 21">
          <a:extLst>
            <a:ext uri="{FF2B5EF4-FFF2-40B4-BE49-F238E27FC236}">
              <a16:creationId xmlns:a16="http://schemas.microsoft.com/office/drawing/2014/main" id="{00000000-0008-0000-09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9521</xdr:colOff>
      <xdr:row>23</xdr:row>
      <xdr:rowOff>0</xdr:rowOff>
    </xdr:from>
    <xdr:to>
      <xdr:col>9</xdr:col>
      <xdr:colOff>500742</xdr:colOff>
      <xdr:row>50</xdr:row>
      <xdr:rowOff>141516</xdr:rowOff>
    </xdr:to>
    <xdr:graphicFrame macro="">
      <xdr:nvGraphicFramePr>
        <xdr:cNvPr id="25" name="Chart 24">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261258</xdr:colOff>
      <xdr:row>19</xdr:row>
      <xdr:rowOff>163286</xdr:rowOff>
    </xdr:from>
    <xdr:to>
      <xdr:col>24</xdr:col>
      <xdr:colOff>65314</xdr:colOff>
      <xdr:row>34</xdr:row>
      <xdr:rowOff>0</xdr:rowOff>
    </xdr:to>
    <xdr:graphicFrame macro="">
      <xdr:nvGraphicFramePr>
        <xdr:cNvPr id="24" name="Chart 23">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293914</xdr:colOff>
      <xdr:row>33</xdr:row>
      <xdr:rowOff>152399</xdr:rowOff>
    </xdr:from>
    <xdr:to>
      <xdr:col>32</xdr:col>
      <xdr:colOff>424543</xdr:colOff>
      <xdr:row>40</xdr:row>
      <xdr:rowOff>76200</xdr:rowOff>
    </xdr:to>
    <xdr:graphicFrame macro="">
      <xdr:nvGraphicFramePr>
        <xdr:cNvPr id="28" name="Chart 27">
          <a:extLst>
            <a:ext uri="{FF2B5EF4-FFF2-40B4-BE49-F238E27FC236}">
              <a16:creationId xmlns:a16="http://schemas.microsoft.com/office/drawing/2014/main" id="{00000000-0008-0000-09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70757</xdr:colOff>
      <xdr:row>31</xdr:row>
      <xdr:rowOff>18806</xdr:rowOff>
    </xdr:from>
    <xdr:to>
      <xdr:col>1</xdr:col>
      <xdr:colOff>1513115</xdr:colOff>
      <xdr:row>39</xdr:row>
      <xdr:rowOff>87087</xdr:rowOff>
    </xdr:to>
    <mc:AlternateContent xmlns:mc="http://schemas.openxmlformats.org/markup-compatibility/2006">
      <mc:Choice xmlns:a14="http://schemas.microsoft.com/office/drawing/2010/main" Requires="a14">
        <xdr:graphicFrame macro="">
          <xdr:nvGraphicFramePr>
            <xdr:cNvPr id="30" name="Gender Value 1">
              <a:extLst>
                <a:ext uri="{FF2B5EF4-FFF2-40B4-BE49-F238E27FC236}">
                  <a16:creationId xmlns:a16="http://schemas.microsoft.com/office/drawing/2014/main" id="{00000000-0008-0000-0900-00001E000000}"/>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70757" y="5418120"/>
              <a:ext cx="1692729" cy="1461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43543</xdr:colOff>
      <xdr:row>40</xdr:row>
      <xdr:rowOff>0</xdr:rowOff>
    </xdr:from>
    <xdr:to>
      <xdr:col>1</xdr:col>
      <xdr:colOff>1534886</xdr:colOff>
      <xdr:row>50</xdr:row>
      <xdr:rowOff>87086</xdr:rowOff>
    </xdr:to>
    <mc:AlternateContent xmlns:mc="http://schemas.openxmlformats.org/markup-compatibility/2006">
      <mc:Choice xmlns:a14="http://schemas.microsoft.com/office/drawing/2010/main" Requires="a14">
        <xdr:graphicFrame macro="">
          <xdr:nvGraphicFramePr>
            <xdr:cNvPr id="31" name="Order Mode 1">
              <a:extLst>
                <a:ext uri="{FF2B5EF4-FFF2-40B4-BE49-F238E27FC236}">
                  <a16:creationId xmlns:a16="http://schemas.microsoft.com/office/drawing/2014/main" id="{00000000-0008-0000-0900-00001F000000}"/>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43543" y="6966857"/>
              <a:ext cx="1741714"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615046</xdr:colOff>
      <xdr:row>36</xdr:row>
      <xdr:rowOff>119744</xdr:rowOff>
    </xdr:from>
    <xdr:to>
      <xdr:col>10</xdr:col>
      <xdr:colOff>348344</xdr:colOff>
      <xdr:row>48</xdr:row>
      <xdr:rowOff>32658</xdr:rowOff>
    </xdr:to>
    <xdr:graphicFrame macro="">
      <xdr:nvGraphicFramePr>
        <xdr:cNvPr id="32" name="salesbygender2">
          <a:extLst>
            <a:ext uri="{FF2B5EF4-FFF2-40B4-BE49-F238E27FC236}">
              <a16:creationId xmlns:a16="http://schemas.microsoft.com/office/drawing/2014/main" id="{00000000-0008-0000-09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555171</xdr:colOff>
      <xdr:row>23</xdr:row>
      <xdr:rowOff>1</xdr:rowOff>
    </xdr:from>
    <xdr:to>
      <xdr:col>16</xdr:col>
      <xdr:colOff>185058</xdr:colOff>
      <xdr:row>50</xdr:row>
      <xdr:rowOff>119745</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9AE7E6FB-1678-4045-BDFD-9DD7C6142D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368142" y="4005944"/>
              <a:ext cx="4354287" cy="48223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43544</xdr:colOff>
      <xdr:row>30</xdr:row>
      <xdr:rowOff>2</xdr:rowOff>
    </xdr:from>
    <xdr:to>
      <xdr:col>15</xdr:col>
      <xdr:colOff>664029</xdr:colOff>
      <xdr:row>39</xdr:row>
      <xdr:rowOff>65315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96B5E88F-7B53-4789-9329-C88B57A964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231087" y="5225145"/>
              <a:ext cx="1295399" cy="16328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250371</xdr:colOff>
      <xdr:row>6</xdr:row>
      <xdr:rowOff>130628</xdr:rowOff>
    </xdr:from>
    <xdr:ext cx="2688557" cy="457200"/>
    <xdr:sp macro="" textlink="">
      <xdr:nvSpPr>
        <xdr:cNvPr id="6" name="TextBox 5">
          <a:extLst>
            <a:ext uri="{FF2B5EF4-FFF2-40B4-BE49-F238E27FC236}">
              <a16:creationId xmlns:a16="http://schemas.microsoft.com/office/drawing/2014/main" id="{53D555B1-15C2-4975-91EB-925E6A36EDC6}"/>
            </a:ext>
          </a:extLst>
        </xdr:cNvPr>
        <xdr:cNvSpPr txBox="1"/>
      </xdr:nvSpPr>
      <xdr:spPr>
        <a:xfrm>
          <a:off x="7413171" y="1175657"/>
          <a:ext cx="2688557"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a:latin typeface="Arial Rounded MT Bold" panose="020F0704030504030204" pitchFamily="34" charset="0"/>
            </a:rPr>
            <a:t>Purchase</a:t>
          </a:r>
          <a:r>
            <a:rPr lang="en-IN" sz="1100"/>
            <a:t> </a:t>
          </a:r>
          <a:r>
            <a:rPr lang="en-IN" sz="1400" b="0">
              <a:latin typeface="Arial Rounded MT Bold" panose="020F0704030504030204" pitchFamily="34" charset="0"/>
            </a:rPr>
            <a:t>Channel</a:t>
          </a:r>
          <a:r>
            <a:rPr lang="en-IN" sz="1400" b="1" baseline="0">
              <a:latin typeface="Arial Rounded MT Bold" panose="020F0704030504030204" pitchFamily="34" charset="0"/>
            </a:rPr>
            <a:t> </a:t>
          </a:r>
          <a:r>
            <a:rPr lang="en-IN" sz="1400" b="0" baseline="0">
              <a:latin typeface="Arial Rounded MT Bold" panose="020F0704030504030204" pitchFamily="34" charset="0"/>
            </a:rPr>
            <a:t>Prefrence</a:t>
          </a:r>
          <a:endParaRPr lang="en-IN" sz="1400" b="0">
            <a:latin typeface="Arial Rounded MT Bold" panose="020F0704030504030204" pitchFamily="34" charset="0"/>
          </a:endParaRPr>
        </a:p>
      </xdr:txBody>
    </xdr:sp>
    <xdr:clientData/>
  </xdr:oneCellAnchor>
  <xdr:twoCellAnchor>
    <xdr:from>
      <xdr:col>16</xdr:col>
      <xdr:colOff>283028</xdr:colOff>
      <xdr:row>34</xdr:row>
      <xdr:rowOff>76200</xdr:rowOff>
    </xdr:from>
    <xdr:to>
      <xdr:col>24</xdr:col>
      <xdr:colOff>87084</xdr:colOff>
      <xdr:row>50</xdr:row>
      <xdr:rowOff>76201</xdr:rowOff>
    </xdr:to>
    <xdr:graphicFrame macro="">
      <xdr:nvGraphicFramePr>
        <xdr:cNvPr id="33" name="ratingbymonth">
          <a:extLst>
            <a:ext uri="{FF2B5EF4-FFF2-40B4-BE49-F238E27FC236}">
              <a16:creationId xmlns:a16="http://schemas.microsoft.com/office/drawing/2014/main" id="{3B54B22F-0256-4AC6-A49A-83574E256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478971</xdr:colOff>
      <xdr:row>6</xdr:row>
      <xdr:rowOff>119742</xdr:rowOff>
    </xdr:from>
    <xdr:to>
      <xdr:col>16</xdr:col>
      <xdr:colOff>130629</xdr:colOff>
      <xdr:row>22</xdr:row>
      <xdr:rowOff>97972</xdr:rowOff>
    </xdr:to>
    <xdr:sp macro="" textlink="">
      <xdr:nvSpPr>
        <xdr:cNvPr id="7" name="Rectangle 6">
          <a:extLst>
            <a:ext uri="{FF2B5EF4-FFF2-40B4-BE49-F238E27FC236}">
              <a16:creationId xmlns:a16="http://schemas.microsoft.com/office/drawing/2014/main" id="{D7350024-47FE-466D-88D7-96C6FB1CA452}"/>
            </a:ext>
          </a:extLst>
        </xdr:cNvPr>
        <xdr:cNvSpPr/>
      </xdr:nvSpPr>
      <xdr:spPr>
        <a:xfrm>
          <a:off x="6966857" y="1164771"/>
          <a:ext cx="3701143" cy="2764972"/>
        </a:xfrm>
        <a:prstGeom prst="rect">
          <a:avLst/>
        </a:prstGeom>
        <a:noFill/>
        <a:ln w="317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174171</xdr:colOff>
      <xdr:row>27</xdr:row>
      <xdr:rowOff>21771</xdr:rowOff>
    </xdr:from>
    <xdr:to>
      <xdr:col>1</xdr:col>
      <xdr:colOff>1426029</xdr:colOff>
      <xdr:row>27</xdr:row>
      <xdr:rowOff>21773</xdr:rowOff>
    </xdr:to>
    <xdr:cxnSp macro="">
      <xdr:nvCxnSpPr>
        <xdr:cNvPr id="26" name="Straight Connector 25">
          <a:extLst>
            <a:ext uri="{FF2B5EF4-FFF2-40B4-BE49-F238E27FC236}">
              <a16:creationId xmlns:a16="http://schemas.microsoft.com/office/drawing/2014/main" id="{F553009C-9422-4776-9C3A-BCA6C3F300A0}"/>
            </a:ext>
          </a:extLst>
        </xdr:cNvPr>
        <xdr:cNvCxnSpPr/>
      </xdr:nvCxnSpPr>
      <xdr:spPr>
        <a:xfrm flipV="1">
          <a:off x="174171" y="4724400"/>
          <a:ext cx="1502229" cy="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76200</xdr:colOff>
      <xdr:row>23</xdr:row>
      <xdr:rowOff>119743</xdr:rowOff>
    </xdr:from>
    <xdr:to>
      <xdr:col>1</xdr:col>
      <xdr:colOff>1415143</xdr:colOff>
      <xdr:row>23</xdr:row>
      <xdr:rowOff>119743</xdr:rowOff>
    </xdr:to>
    <xdr:cxnSp macro="">
      <xdr:nvCxnSpPr>
        <xdr:cNvPr id="39" name="Straight Connector 38">
          <a:extLst>
            <a:ext uri="{FF2B5EF4-FFF2-40B4-BE49-F238E27FC236}">
              <a16:creationId xmlns:a16="http://schemas.microsoft.com/office/drawing/2014/main" id="{BE61B299-5FF7-4569-BD6B-9413F9DD9024}"/>
            </a:ext>
          </a:extLst>
        </xdr:cNvPr>
        <xdr:cNvCxnSpPr/>
      </xdr:nvCxnSpPr>
      <xdr:spPr>
        <a:xfrm>
          <a:off x="76200" y="4125686"/>
          <a:ext cx="1589314"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141514</xdr:colOff>
      <xdr:row>19</xdr:row>
      <xdr:rowOff>119743</xdr:rowOff>
    </xdr:from>
    <xdr:to>
      <xdr:col>1</xdr:col>
      <xdr:colOff>1426029</xdr:colOff>
      <xdr:row>19</xdr:row>
      <xdr:rowOff>119743</xdr:rowOff>
    </xdr:to>
    <xdr:cxnSp macro="">
      <xdr:nvCxnSpPr>
        <xdr:cNvPr id="45" name="Straight Connector 44">
          <a:extLst>
            <a:ext uri="{FF2B5EF4-FFF2-40B4-BE49-F238E27FC236}">
              <a16:creationId xmlns:a16="http://schemas.microsoft.com/office/drawing/2014/main" id="{604A87B1-1040-47A3-9E96-F732B2B9597A}"/>
            </a:ext>
          </a:extLst>
        </xdr:cNvPr>
        <xdr:cNvCxnSpPr/>
      </xdr:nvCxnSpPr>
      <xdr:spPr>
        <a:xfrm>
          <a:off x="141514" y="3429000"/>
          <a:ext cx="153488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163285</xdr:colOff>
      <xdr:row>15</xdr:row>
      <xdr:rowOff>119743</xdr:rowOff>
    </xdr:from>
    <xdr:to>
      <xdr:col>1</xdr:col>
      <xdr:colOff>1393372</xdr:colOff>
      <xdr:row>15</xdr:row>
      <xdr:rowOff>119745</xdr:rowOff>
    </xdr:to>
    <xdr:cxnSp macro="">
      <xdr:nvCxnSpPr>
        <xdr:cNvPr id="49" name="Straight Connector 48">
          <a:extLst>
            <a:ext uri="{FF2B5EF4-FFF2-40B4-BE49-F238E27FC236}">
              <a16:creationId xmlns:a16="http://schemas.microsoft.com/office/drawing/2014/main" id="{3BCB454A-EDC5-4A48-91ED-F13E4CEB83E9}"/>
            </a:ext>
          </a:extLst>
        </xdr:cNvPr>
        <xdr:cNvCxnSpPr/>
      </xdr:nvCxnSpPr>
      <xdr:spPr>
        <a:xfrm flipV="1">
          <a:off x="163285" y="2732314"/>
          <a:ext cx="1480458" cy="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Singh" refreshedDate="46092.465594907408" createdVersion="4" refreshedVersion="4" minRefreshableVersion="3" recordCount="2400" xr:uid="{00000000-000A-0000-FFFF-FFFF0400000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st"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5">
  <location ref="A8:C22"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itembought"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7">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0"/>
        <item x="1"/>
        <item x="2"/>
        <item x="4"/>
        <item x="3"/>
        <item n="6 -10" x="5"/>
        <item n="&gt; 10" x="6"/>
      </items>
    </pivotField>
    <pivotField showAll="0" defaultSubtotal="0">
      <items count="14">
        <item x="0"/>
        <item x="1"/>
        <item x="2"/>
        <item x="3"/>
        <item x="4"/>
        <item x="5"/>
        <item x="6"/>
        <item x="7"/>
        <item x="8"/>
        <item x="9"/>
        <item x="10"/>
        <item x="11"/>
        <item x="12"/>
        <item x="13"/>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1">
    <format dxfId="20">
      <pivotArea dataOnly="0" labelOnly="1" fieldPosition="0">
        <references count="1">
          <reference field="15" count="1">
            <x v="5"/>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1"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13">
  <location ref="L3:M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um of Quantity" fld="2" baseField="0" baseItem="0"/>
  </dataFields>
  <chartFormats count="1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3"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4" count="1" selected="0">
            <x v="0"/>
          </reference>
        </references>
      </pivotArea>
    </chartFormat>
    <chartFormat chart="11" format="10">
      <pivotArea type="data" outline="0" fieldPosition="0">
        <references count="2">
          <reference field="4294967294" count="1" selected="0">
            <x v="0"/>
          </reference>
          <reference field="14" count="1" selected="0">
            <x v="1"/>
          </reference>
        </references>
      </pivotArea>
    </chartFormat>
    <chartFormat chart="11" format="11">
      <pivotArea type="data" outline="0" fieldPosition="0">
        <references count="2">
          <reference field="4294967294" count="1" selected="0">
            <x v="0"/>
          </reference>
          <reference field="14" count="1" selected="0">
            <x v="3"/>
          </reference>
        </references>
      </pivotArea>
    </chartFormat>
    <chartFormat chart="11"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2" format="12" series="1">
      <pivotArea type="data" outline="0" fieldPosition="0">
        <references count="2">
          <reference field="4294967294" count="1" selected="0">
            <x v="0"/>
          </reference>
          <reference field="1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series="1">
      <pivotArea type="data" outline="0" fieldPosition="0">
        <references count="2">
          <reference field="4294967294" count="1" selected="0">
            <x v="0"/>
          </reference>
          <reference field="14" count="1" selected="0">
            <x v="2"/>
          </reference>
        </references>
      </pivotArea>
    </chartFormat>
    <chartFormat chart="2"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location"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compact="0" compactData="0" multipleFieldFilters="0" chartFormat="4">
  <location ref="A4:D62"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7">
  <location ref="A3:B19"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19">
  <location ref="E5:K10"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8">
    <chartFormat chart="13" format="0" series="1">
      <pivotArea type="data" outline="0" fieldPosition="0">
        <references count="2">
          <reference field="4294967294" count="1" selected="0">
            <x v="0"/>
          </reference>
          <reference field="16" count="1" selected="0">
            <x v="1"/>
          </reference>
        </references>
      </pivotArea>
    </chartFormat>
    <chartFormat chart="13" format="1" series="1">
      <pivotArea type="data" outline="0" fieldPosition="0">
        <references count="2">
          <reference field="4294967294" count="1" selected="0">
            <x v="0"/>
          </reference>
          <reference field="16" count="1" selected="0">
            <x v="2"/>
          </reference>
        </references>
      </pivotArea>
    </chartFormat>
    <chartFormat chart="13" format="2" series="1">
      <pivotArea type="data" outline="0" fieldPosition="0">
        <references count="2">
          <reference field="4294967294" count="1" selected="0">
            <x v="0"/>
          </reference>
          <reference field="16" count="1" selected="0">
            <x v="3"/>
          </reference>
        </references>
      </pivotArea>
    </chartFormat>
    <chartFormat chart="13" format="3" series="1">
      <pivotArea type="data" outline="0" fieldPosition="0">
        <references count="2">
          <reference field="4294967294" count="1" selected="0">
            <x v="0"/>
          </reference>
          <reference field="9" count="1" selected="0">
            <x v="3"/>
          </reference>
        </references>
      </pivotArea>
    </chartFormat>
    <chartFormat chart="13" format="4" series="1">
      <pivotArea type="data" outline="0" fieldPosition="0">
        <references count="2">
          <reference field="4294967294" count="1" selected="0">
            <x v="0"/>
          </reference>
          <reference field="9" count="1" selected="0">
            <x v="4"/>
          </reference>
        </references>
      </pivotArea>
    </chartFormat>
    <chartFormat chart="13" format="5" series="1">
      <pivotArea type="data" outline="0" fieldPosition="0">
        <references count="2">
          <reference field="4294967294" count="1" selected="0">
            <x v="0"/>
          </reference>
          <reference field="9" count="1" selected="0">
            <x v="0"/>
          </reference>
        </references>
      </pivotArea>
    </chartFormat>
    <chartFormat chart="13" format="6" series="1">
      <pivotArea type="data" outline="0" fieldPosition="0">
        <references count="2">
          <reference field="4294967294" count="1" selected="0">
            <x v="0"/>
          </reference>
          <reference field="9" count="1" selected="0">
            <x v="1"/>
          </reference>
        </references>
      </pivotArea>
    </chartFormat>
    <chartFormat chart="13" format="7" series="1">
      <pivotArea type="data" outline="0" fieldPosition="0">
        <references count="2">
          <reference field="4294967294" count="1" selected="0">
            <x v="0"/>
          </reference>
          <reference field="9" count="1" selected="0">
            <x v="2"/>
          </reference>
        </references>
      </pivotArea>
    </chartFormat>
    <chartFormat chart="16" format="13" series="1">
      <pivotArea type="data" outline="0" fieldPosition="0">
        <references count="2">
          <reference field="4294967294" count="1" selected="0">
            <x v="0"/>
          </reference>
          <reference field="9" count="1" selected="0">
            <x v="0"/>
          </reference>
        </references>
      </pivotArea>
    </chartFormat>
    <chartFormat chart="16" format="14" series="1">
      <pivotArea type="data" outline="0" fieldPosition="0">
        <references count="2">
          <reference field="4294967294" count="1" selected="0">
            <x v="0"/>
          </reference>
          <reference field="9" count="1" selected="0">
            <x v="1"/>
          </reference>
        </references>
      </pivotArea>
    </chartFormat>
    <chartFormat chart="16" format="15" series="1">
      <pivotArea type="data" outline="0" fieldPosition="0">
        <references count="2">
          <reference field="4294967294" count="1" selected="0">
            <x v="0"/>
          </reference>
          <reference field="9" count="1" selected="0">
            <x v="2"/>
          </reference>
        </references>
      </pivotArea>
    </chartFormat>
    <chartFormat chart="16" format="16" series="1">
      <pivotArea type="data" outline="0" fieldPosition="0">
        <references count="2">
          <reference field="4294967294" count="1" selected="0">
            <x v="0"/>
          </reference>
          <reference field="9" count="1" selected="0">
            <x v="3"/>
          </reference>
        </references>
      </pivotArea>
    </chartFormat>
    <chartFormat chart="16" format="17" series="1">
      <pivotArea type="data" outline="0" fieldPosition="0">
        <references count="2">
          <reference field="4294967294" count="1" selected="0">
            <x v="0"/>
          </reference>
          <reference field="9" count="1" selected="0">
            <x v="4"/>
          </reference>
        </references>
      </pivotArea>
    </chartFormat>
    <chartFormat chart="18" format="13" series="1">
      <pivotArea type="data" outline="0" fieldPosition="0">
        <references count="2">
          <reference field="4294967294" count="1" selected="0">
            <x v="0"/>
          </reference>
          <reference field="9" count="1" selected="0">
            <x v="0"/>
          </reference>
        </references>
      </pivotArea>
    </chartFormat>
    <chartFormat chart="18" format="14" series="1">
      <pivotArea type="data" outline="0" fieldPosition="0">
        <references count="2">
          <reference field="4294967294" count="1" selected="0">
            <x v="0"/>
          </reference>
          <reference field="9" count="1" selected="0">
            <x v="1"/>
          </reference>
        </references>
      </pivotArea>
    </chartFormat>
    <chartFormat chart="18" format="15" series="1">
      <pivotArea type="data" outline="0" fieldPosition="0">
        <references count="2">
          <reference field="4294967294" count="1" selected="0">
            <x v="0"/>
          </reference>
          <reference field="9" count="1" selected="0">
            <x v="2"/>
          </reference>
        </references>
      </pivotArea>
    </chartFormat>
    <chartFormat chart="18" format="16" series="1">
      <pivotArea type="data" outline="0" fieldPosition="0">
        <references count="2">
          <reference field="4294967294" count="1" selected="0">
            <x v="0"/>
          </reference>
          <reference field="9" count="1" selected="0">
            <x v="3"/>
          </reference>
        </references>
      </pivotArea>
    </chartFormat>
    <chartFormat chart="18"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0000000-0013-0000-FFFF-FFFF01000000}" sourceName="Gender Value">
  <pivotTables>
    <pivotTable tabId="12" name="PivotTable2"/>
    <pivotTable tabId="7" name="itembought"/>
    <pivotTable tabId="9" name="location"/>
    <pivotTable tabId="12" name="PivotTable1"/>
    <pivotTable tabId="5" name="PivotTable1"/>
    <pivotTable tabId="5" name="PivotTable1st"/>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0000000-0013-0000-FFFF-FFFF02000000}" sourceName="Order Mode">
  <pivotTables>
    <pivotTable tabId="12" name="PivotTable2"/>
    <pivotTable tabId="5" name="PivotTable1"/>
    <pivotTable tabId="5" name="PivotTable1st"/>
    <pivotTable tabId="7" name="itembought"/>
    <pivotTable tabId="8" name="PivotTable12"/>
    <pivotTable tabId="8" name="PivotTable21"/>
    <pivotTable tabId="9" name="location"/>
    <pivotTable tabId="12" name="PivotTable1"/>
  </pivotTables>
  <data>
    <tabular pivotCacheId="1">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00000000-0014-0000-FFFF-FFFF01000000}" cache="Slicer_Gender_Value" caption="Gender Value" rowHeight="234950"/>
  <slicer name="Order Mode" xr10:uid="{00000000-0014-0000-FFFF-FFFF02000000}" cache="Slicer_Order_Mode" caption="Order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00000000-0014-0000-FFFF-FFFF03000000}" cache="Slicer_Gender_Value" caption="Gender Value" rowHeight="234950"/>
  <slicer name="Order Mode 1" xr10:uid="{00000000-0014-0000-FFFF-FFFF04000000}" cache="Slicer_Order_Mode" caption="Order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O133" totalsRowShown="0">
  <autoFilter ref="A1:O133" xr:uid="{00000000-0009-0000-0100-00000200000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19"/>
    <tableColumn id="7" xr3:uid="{00000000-0010-0000-0000-000007000000}" name="Ship Date" dataDxfId="18"/>
    <tableColumn id="8" xr3:uid="{00000000-0010-0000-0000-000008000000}" name="Customer Gender"/>
    <tableColumn id="9" xr3:uid="{00000000-0010-0000-0000-000009000000}" name="Order Mode"/>
    <tableColumn id="10" xr3:uid="{00000000-0010-0000-0000-00000A000000}" name="Rating C"/>
    <tableColumn id="11" xr3:uid="{00000000-0010-0000-0000-00000B000000}" name="State"/>
    <tableColumn id="12" xr3:uid="{00000000-0010-0000-0000-00000C000000}" name="County"/>
    <tableColumn id="13" xr3:uid="{00000000-0010-0000-0000-00000D000000}" name="Days to Deliver"/>
    <tableColumn id="14" xr3:uid="{00000000-0010-0000-0000-00000E000000}" name="Weeknum"/>
    <tableColumn id="15" xr3:uid="{00000000-0010-0000-0000-00000F000000}"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orders" displayName="orders" ref="A1:O2401" totalsRowShown="0">
  <tableColumns count="15">
    <tableColumn id="1" xr3:uid="{00000000-0010-0000-0100-000001000000}" name="TX ID"/>
    <tableColumn id="2" xr3:uid="{00000000-0010-0000-0100-000002000000}" name="Product"/>
    <tableColumn id="3" xr3:uid="{00000000-0010-0000-0100-000003000000}" name="Quantity"/>
    <tableColumn id="4" xr3:uid="{00000000-0010-0000-0100-000004000000}" name="Unit Price"/>
    <tableColumn id="5" xr3:uid="{00000000-0010-0000-0100-000005000000}" name="Amount"/>
    <tableColumn id="6" xr3:uid="{00000000-0010-0000-0100-000006000000}" name="Order Date" dataDxfId="17"/>
    <tableColumn id="7" xr3:uid="{00000000-0010-0000-0100-000007000000}" name="Ship Date" dataDxfId="16"/>
    <tableColumn id="8" xr3:uid="{00000000-0010-0000-0100-000008000000}" name="Customer Gender"/>
    <tableColumn id="9" xr3:uid="{00000000-0010-0000-0100-000009000000}" name="Order Mode"/>
    <tableColumn id="10" xr3:uid="{00000000-0010-0000-0100-00000A000000}" name="Rating C"/>
    <tableColumn id="15" xr3:uid="{00000000-0010-0000-0100-00000F000000}" name="State"/>
    <tableColumn id="14" xr3:uid="{00000000-0010-0000-0100-00000E000000}" name="County"/>
    <tableColumn id="11" xr3:uid="{00000000-0010-0000-0100-00000B000000}" name="Days to Deliver" dataDxfId="15">
      <calculatedColumnFormula>orders[[#This Row],[Ship Date]]-orders[[#This Row],[Order Date]]</calculatedColumnFormula>
    </tableColumn>
    <tableColumn id="12" xr3:uid="{00000000-0010-0000-0100-00000C000000}" name="Weeknum" dataDxfId="14">
      <calculatedColumnFormula>WEEKNUM(orders[[#This Row],[Order Date]])</calculatedColumnFormula>
    </tableColumn>
    <tableColumn id="13" xr3:uid="{00000000-0010-0000-0100-00000D000000}" name="Gender Value" dataDxfId="13">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22"/>
  <sheetViews>
    <sheetView workbookViewId="0">
      <selection activeCell="A8" sqref="A8"/>
    </sheetView>
  </sheetViews>
  <sheetFormatPr defaultRowHeight="13.8"/>
  <cols>
    <col min="1" max="1" width="13.09765625" bestFit="1" customWidth="1"/>
    <col min="2" max="2" width="15.09765625" customWidth="1"/>
    <col min="3" max="3" width="14.59765625" bestFit="1" customWidth="1"/>
    <col min="4" max="4" width="18.59765625" customWidth="1"/>
    <col min="5" max="5" width="24.69921875" bestFit="1" customWidth="1"/>
    <col min="10" max="10" width="10.19921875" bestFit="1" customWidth="1"/>
  </cols>
  <sheetData>
    <row r="3" spans="1:11">
      <c r="A3" t="s">
        <v>2548</v>
      </c>
      <c r="B3" t="s">
        <v>2549</v>
      </c>
      <c r="C3" t="s">
        <v>2550</v>
      </c>
      <c r="D3" t="s">
        <v>2551</v>
      </c>
      <c r="E3" t="s">
        <v>2552</v>
      </c>
      <c r="G3" t="s">
        <v>2553</v>
      </c>
    </row>
    <row r="4" spans="1:11">
      <c r="A4" s="12">
        <v>2400</v>
      </c>
      <c r="B4" s="12">
        <v>11997</v>
      </c>
      <c r="C4" s="12">
        <v>649019.80000000144</v>
      </c>
      <c r="D4" s="12">
        <v>3.9620833333333332</v>
      </c>
      <c r="E4" s="12">
        <v>2.3424999999999998</v>
      </c>
      <c r="G4" t="s">
        <v>2554</v>
      </c>
      <c r="H4" t="s">
        <v>2555</v>
      </c>
      <c r="I4" t="s">
        <v>2556</v>
      </c>
      <c r="J4" t="s">
        <v>2558</v>
      </c>
      <c r="K4" t="s">
        <v>2557</v>
      </c>
    </row>
    <row r="5" spans="1:11">
      <c r="G5" t="str">
        <f>TEXT(A4,"#,##")</f>
        <v>2,400</v>
      </c>
      <c r="H5" t="str">
        <f>TEXT(B4,"#,##")</f>
        <v>11,997</v>
      </c>
      <c r="I5" t="str">
        <f>TEXT(C4,"$#,##,.0k")</f>
        <v>$649.0k</v>
      </c>
      <c r="J5" t="str">
        <f>TEXT(D4,"0.0")</f>
        <v>4.0</v>
      </c>
      <c r="K5" t="str">
        <f>TEXT(E4,"0.0")</f>
        <v>2.3</v>
      </c>
    </row>
    <row r="8" spans="1:11">
      <c r="A8" s="13" t="s">
        <v>2559</v>
      </c>
      <c r="B8" t="s">
        <v>2549</v>
      </c>
      <c r="C8" t="s">
        <v>2550</v>
      </c>
    </row>
    <row r="9" spans="1:11">
      <c r="A9" s="14">
        <v>1</v>
      </c>
      <c r="B9" s="12">
        <v>546</v>
      </c>
      <c r="C9" s="15">
        <v>32413.300000000003</v>
      </c>
    </row>
    <row r="10" spans="1:11">
      <c r="A10" s="14">
        <v>2</v>
      </c>
      <c r="B10" s="12">
        <v>905</v>
      </c>
      <c r="C10" s="15">
        <v>49562.999999999993</v>
      </c>
    </row>
    <row r="11" spans="1:11">
      <c r="A11" s="14">
        <v>3</v>
      </c>
      <c r="B11" s="12">
        <v>796</v>
      </c>
      <c r="C11" s="15">
        <v>41700.400000000016</v>
      </c>
    </row>
    <row r="12" spans="1:11">
      <c r="A12" s="14">
        <v>4</v>
      </c>
      <c r="B12" s="12">
        <v>913</v>
      </c>
      <c r="C12" s="15">
        <v>46782.599999999984</v>
      </c>
    </row>
    <row r="13" spans="1:11">
      <c r="A13" s="14">
        <v>5</v>
      </c>
      <c r="B13" s="12">
        <v>844</v>
      </c>
      <c r="C13" s="15">
        <v>42676.100000000006</v>
      </c>
    </row>
    <row r="14" spans="1:11">
      <c r="A14" s="14">
        <v>6</v>
      </c>
      <c r="B14" s="12">
        <v>1202</v>
      </c>
      <c r="C14" s="15">
        <v>62910.7</v>
      </c>
    </row>
    <row r="15" spans="1:11">
      <c r="A15" s="14">
        <v>7</v>
      </c>
      <c r="B15" s="12">
        <v>935</v>
      </c>
      <c r="C15" s="15">
        <v>50332.200000000004</v>
      </c>
    </row>
    <row r="16" spans="1:11">
      <c r="A16" s="14">
        <v>8</v>
      </c>
      <c r="B16" s="12">
        <v>1128</v>
      </c>
      <c r="C16" s="15">
        <v>58760.599999999977</v>
      </c>
    </row>
    <row r="17" spans="1:3">
      <c r="A17" s="14">
        <v>9</v>
      </c>
      <c r="B17" s="12">
        <v>1007</v>
      </c>
      <c r="C17" s="15">
        <v>52017.299999999996</v>
      </c>
    </row>
    <row r="18" spans="1:3">
      <c r="A18" s="14">
        <v>10</v>
      </c>
      <c r="B18" s="12">
        <v>1128</v>
      </c>
      <c r="C18" s="15">
        <v>64915.700000000033</v>
      </c>
    </row>
    <row r="19" spans="1:3">
      <c r="A19" s="14">
        <v>11</v>
      </c>
      <c r="B19" s="12">
        <v>861</v>
      </c>
      <c r="C19" s="15">
        <v>45943.80000000001</v>
      </c>
    </row>
    <row r="20" spans="1:3">
      <c r="A20" s="14">
        <v>12</v>
      </c>
      <c r="B20" s="12">
        <v>944</v>
      </c>
      <c r="C20" s="15">
        <v>55077.900000000031</v>
      </c>
    </row>
    <row r="21" spans="1:3">
      <c r="A21" s="14">
        <v>13</v>
      </c>
      <c r="B21" s="12">
        <v>788</v>
      </c>
      <c r="C21" s="15">
        <v>45926.19999999999</v>
      </c>
    </row>
    <row r="22" spans="1:3">
      <c r="A22" s="14" t="s">
        <v>2560</v>
      </c>
      <c r="B22" s="12">
        <v>11997</v>
      </c>
      <c r="C22" s="15">
        <v>649019.79999999993</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1"/>
  <sheetViews>
    <sheetView workbookViewId="0">
      <selection activeCell="A3" sqref="A3"/>
    </sheetView>
  </sheetViews>
  <sheetFormatPr defaultRowHeight="13.8"/>
  <cols>
    <col min="1" max="1" width="13.09765625" bestFit="1" customWidth="1"/>
    <col min="2" max="2" width="13.5" bestFit="1" customWidth="1"/>
  </cols>
  <sheetData>
    <row r="3" spans="1:2">
      <c r="A3" s="13" t="s">
        <v>2559</v>
      </c>
      <c r="B3" t="s">
        <v>2548</v>
      </c>
    </row>
    <row r="4" spans="1:2">
      <c r="A4" s="14">
        <v>1</v>
      </c>
      <c r="B4" s="12">
        <v>397</v>
      </c>
    </row>
    <row r="5" spans="1:2">
      <c r="A5" s="14">
        <v>2</v>
      </c>
      <c r="B5" s="12">
        <v>540</v>
      </c>
    </row>
    <row r="6" spans="1:2">
      <c r="A6" s="14">
        <v>3</v>
      </c>
      <c r="B6" s="12">
        <v>375</v>
      </c>
    </row>
    <row r="7" spans="1:2">
      <c r="A7" s="14">
        <v>4</v>
      </c>
      <c r="B7" s="12">
        <v>246</v>
      </c>
    </row>
    <row r="8" spans="1:2">
      <c r="A8" s="14">
        <v>5</v>
      </c>
      <c r="B8" s="12">
        <v>195</v>
      </c>
    </row>
    <row r="9" spans="1:2">
      <c r="A9" s="28" t="s">
        <v>2567</v>
      </c>
      <c r="B9" s="12">
        <v>414</v>
      </c>
    </row>
    <row r="10" spans="1:2">
      <c r="A10" s="14" t="s">
        <v>2568</v>
      </c>
      <c r="B10" s="12">
        <v>233</v>
      </c>
    </row>
    <row r="11" spans="1:2">
      <c r="A11" s="14" t="s">
        <v>2560</v>
      </c>
      <c r="B11" s="12">
        <v>2400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10"/>
  <sheetViews>
    <sheetView showGridLines="0" workbookViewId="0">
      <selection activeCell="H5" sqref="H5"/>
    </sheetView>
  </sheetViews>
  <sheetFormatPr defaultRowHeight="13.8"/>
  <cols>
    <col min="1" max="1" width="14.59765625" bestFit="1" customWidth="1"/>
    <col min="2" max="2" width="16.09765625" bestFit="1" customWidth="1"/>
    <col min="3" max="3" width="7.09765625" customWidth="1"/>
    <col min="4" max="4" width="6.09765625" customWidth="1"/>
    <col min="5" max="5" width="9.09765625" bestFit="1" customWidth="1"/>
    <col min="6" max="6" width="11" bestFit="1" customWidth="1"/>
    <col min="8" max="8" width="10.3984375" bestFit="1" customWidth="1"/>
    <col min="9" max="9" width="7" customWidth="1"/>
    <col min="10" max="10" width="6.296875" customWidth="1"/>
    <col min="11" max="11" width="5.3984375" bestFit="1" customWidth="1"/>
    <col min="12" max="12" width="8.3984375" bestFit="1" customWidth="1"/>
  </cols>
  <sheetData>
    <row r="2" spans="1:12">
      <c r="H2" t="s">
        <v>2566</v>
      </c>
    </row>
    <row r="3" spans="1:12">
      <c r="A3" s="13" t="s">
        <v>2550</v>
      </c>
      <c r="B3" s="13" t="s">
        <v>2561</v>
      </c>
    </row>
    <row r="4" spans="1:12" ht="14.4" thickBot="1">
      <c r="A4" s="13" t="s">
        <v>2559</v>
      </c>
      <c r="B4" t="s">
        <v>2562</v>
      </c>
      <c r="C4" t="s">
        <v>2563</v>
      </c>
      <c r="D4" t="s">
        <v>2564</v>
      </c>
      <c r="E4" t="s">
        <v>2565</v>
      </c>
      <c r="F4" t="s">
        <v>2560</v>
      </c>
      <c r="H4" s="17"/>
      <c r="I4" s="18" t="str">
        <f>B4</f>
        <v>Female</v>
      </c>
      <c r="J4" s="18" t="str">
        <f>C4</f>
        <v>Male</v>
      </c>
      <c r="K4" s="18" t="str">
        <f>D4</f>
        <v>Other</v>
      </c>
      <c r="L4" s="19" t="str">
        <f>E4</f>
        <v>Unknown</v>
      </c>
    </row>
    <row r="5" spans="1:12" ht="15" thickTop="1" thickBot="1">
      <c r="A5" s="14" t="s">
        <v>18</v>
      </c>
      <c r="B5" s="16">
        <v>0.18961825201634841</v>
      </c>
      <c r="C5" s="16">
        <v>0.12262322351336576</v>
      </c>
      <c r="D5" s="16">
        <v>1.060537752469185E-2</v>
      </c>
      <c r="E5" s="16">
        <v>3.0599220547662797E-2</v>
      </c>
      <c r="F5" s="16">
        <v>0.35344607360206881</v>
      </c>
      <c r="H5" s="20" t="str">
        <f>A5</f>
        <v>App</v>
      </c>
      <c r="I5" s="21">
        <f t="shared" ref="I5:L9" si="0">B5</f>
        <v>0.18961825201634841</v>
      </c>
      <c r="J5" s="21">
        <f t="shared" si="0"/>
        <v>0.12262322351336576</v>
      </c>
      <c r="K5" s="21">
        <f t="shared" si="0"/>
        <v>1.060537752469185E-2</v>
      </c>
      <c r="L5" s="22">
        <f t="shared" si="0"/>
        <v>3.0599220547662797E-2</v>
      </c>
    </row>
    <row r="6" spans="1:12" ht="15" thickTop="1" thickBot="1">
      <c r="A6" s="14" t="s">
        <v>51</v>
      </c>
      <c r="B6" s="16">
        <v>5.0283982091147303E-2</v>
      </c>
      <c r="C6" s="16">
        <v>4.3060781812819873E-2</v>
      </c>
      <c r="D6" s="16">
        <v>1.5320025675641944E-3</v>
      </c>
      <c r="E6" s="16">
        <v>1.7794988689097006E-2</v>
      </c>
      <c r="F6" s="16">
        <v>0.11267175516062837</v>
      </c>
      <c r="H6" s="20" t="str">
        <f>A6</f>
        <v>Instagram</v>
      </c>
      <c r="I6" s="21">
        <f t="shared" si="0"/>
        <v>5.0283982091147303E-2</v>
      </c>
      <c r="J6" s="21">
        <f t="shared" si="0"/>
        <v>4.3060781812819873E-2</v>
      </c>
      <c r="K6" s="21">
        <f t="shared" si="0"/>
        <v>1.5320025675641944E-3</v>
      </c>
      <c r="L6" s="22">
        <f t="shared" si="0"/>
        <v>1.7794988689097006E-2</v>
      </c>
    </row>
    <row r="7" spans="1:12" ht="15" thickTop="1" thickBot="1">
      <c r="A7" s="14" t="s">
        <v>70</v>
      </c>
      <c r="B7" s="16">
        <v>6.3496059750411282E-2</v>
      </c>
      <c r="C7" s="16">
        <v>4.6071629863988765E-2</v>
      </c>
      <c r="D7" s="16">
        <v>2.306247051322625E-3</v>
      </c>
      <c r="E7" s="16">
        <v>3.8927934093844286E-3</v>
      </c>
      <c r="F7" s="16">
        <v>0.11576673007510711</v>
      </c>
      <c r="H7" s="20" t="str">
        <f>A7</f>
        <v>Partner App</v>
      </c>
      <c r="I7" s="21">
        <f t="shared" si="0"/>
        <v>6.3496059750411282E-2</v>
      </c>
      <c r="J7" s="21">
        <f t="shared" si="0"/>
        <v>4.6071629863988765E-2</v>
      </c>
      <c r="K7" s="21">
        <f t="shared" si="0"/>
        <v>2.306247051322625E-3</v>
      </c>
      <c r="L7" s="22">
        <f t="shared" si="0"/>
        <v>3.8927934093844286E-3</v>
      </c>
    </row>
    <row r="8" spans="1:12" ht="15" thickTop="1" thickBot="1">
      <c r="A8" s="14" t="s">
        <v>40</v>
      </c>
      <c r="B8" s="16">
        <v>9.6337892927149532E-2</v>
      </c>
      <c r="C8" s="16">
        <v>6.7920115842382611E-2</v>
      </c>
      <c r="D8" s="16">
        <v>5.4979832664581261E-3</v>
      </c>
      <c r="E8" s="16">
        <v>1.2933041488102518E-2</v>
      </c>
      <c r="F8" s="16">
        <v>0.1826890335240928</v>
      </c>
      <c r="H8" s="20" t="str">
        <f>A8</f>
        <v>Target.com</v>
      </c>
      <c r="I8" s="21">
        <f t="shared" si="0"/>
        <v>9.6337892927149532E-2</v>
      </c>
      <c r="J8" s="21">
        <f t="shared" si="0"/>
        <v>6.7920115842382611E-2</v>
      </c>
      <c r="K8" s="21">
        <f t="shared" si="0"/>
        <v>5.4979832664581261E-3</v>
      </c>
      <c r="L8" s="22">
        <f t="shared" si="0"/>
        <v>1.2933041488102518E-2</v>
      </c>
    </row>
    <row r="9" spans="1:12" ht="14.4" thickTop="1">
      <c r="A9" s="14" t="s">
        <v>35</v>
      </c>
      <c r="B9" s="16">
        <v>0.12522098709469262</v>
      </c>
      <c r="C9" s="16">
        <v>9.1492740283116228E-2</v>
      </c>
      <c r="D9" s="16">
        <v>6.3042760790965081E-3</v>
      </c>
      <c r="E9" s="16">
        <v>1.2408404181197551E-2</v>
      </c>
      <c r="F9" s="16">
        <v>0.23542640763810288</v>
      </c>
      <c r="H9" s="23" t="str">
        <f>A9</f>
        <v>Website</v>
      </c>
      <c r="I9" s="24">
        <f t="shared" si="0"/>
        <v>0.12522098709469262</v>
      </c>
      <c r="J9" s="24">
        <f t="shared" si="0"/>
        <v>9.1492740283116228E-2</v>
      </c>
      <c r="K9" s="24">
        <f t="shared" si="0"/>
        <v>6.3042760790965081E-3</v>
      </c>
      <c r="L9" s="25">
        <f t="shared" si="0"/>
        <v>1.2408404181197551E-2</v>
      </c>
    </row>
    <row r="10" spans="1:12">
      <c r="A10" s="14" t="s">
        <v>2560</v>
      </c>
      <c r="B10" s="16">
        <v>0.52495717387974916</v>
      </c>
      <c r="C10" s="16">
        <v>0.3711684913156732</v>
      </c>
      <c r="D10" s="16">
        <v>2.6245886489133303E-2</v>
      </c>
      <c r="E10" s="16">
        <v>7.7628448315444312E-2</v>
      </c>
      <c r="F10" s="16">
        <v>1</v>
      </c>
      <c r="H10" s="26"/>
      <c r="I10" s="27"/>
      <c r="J10" s="27"/>
      <c r="K10" s="27"/>
      <c r="L10" s="27"/>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M25"/>
  <sheetViews>
    <sheetView topLeftCell="B1" workbookViewId="0">
      <selection activeCell="L3" sqref="L3:M8"/>
    </sheetView>
  </sheetViews>
  <sheetFormatPr defaultRowHeight="13.8"/>
  <cols>
    <col min="1" max="1" width="19.19921875" bestFit="1" customWidth="1"/>
    <col min="2" max="2" width="16.09765625" bestFit="1" customWidth="1"/>
    <col min="3" max="3" width="5" bestFit="1" customWidth="1"/>
    <col min="4" max="4" width="5.796875" bestFit="1" customWidth="1"/>
    <col min="5" max="5" width="9.09765625" bestFit="1" customWidth="1"/>
    <col min="6" max="6" width="11" bestFit="1" customWidth="1"/>
    <col min="12" max="12" width="13.09765625" customWidth="1"/>
    <col min="13" max="13" width="15.09765625" customWidth="1"/>
    <col min="14" max="14" width="5" customWidth="1"/>
    <col min="15" max="15" width="5.796875" customWidth="1"/>
    <col min="16" max="16" width="9.09765625" bestFit="1" customWidth="1"/>
    <col min="17" max="17" width="11" bestFit="1" customWidth="1"/>
  </cols>
  <sheetData>
    <row r="3" spans="1:13">
      <c r="A3" s="13" t="s">
        <v>2549</v>
      </c>
      <c r="B3" s="13" t="s">
        <v>2561</v>
      </c>
      <c r="L3" s="13" t="s">
        <v>2559</v>
      </c>
      <c r="M3" t="s">
        <v>2549</v>
      </c>
    </row>
    <row r="4" spans="1:13">
      <c r="A4" s="13" t="s">
        <v>2559</v>
      </c>
      <c r="B4" t="s">
        <v>2562</v>
      </c>
      <c r="C4" t="s">
        <v>2563</v>
      </c>
      <c r="D4" t="s">
        <v>2564</v>
      </c>
      <c r="E4" t="s">
        <v>2565</v>
      </c>
      <c r="F4" t="s">
        <v>2560</v>
      </c>
      <c r="L4" s="14" t="s">
        <v>2562</v>
      </c>
      <c r="M4" s="12">
        <v>6272</v>
      </c>
    </row>
    <row r="5" spans="1:13">
      <c r="A5" s="14" t="s">
        <v>44</v>
      </c>
      <c r="B5" s="12">
        <v>744</v>
      </c>
      <c r="C5" s="12">
        <v>713</v>
      </c>
      <c r="D5" s="12">
        <v>90</v>
      </c>
      <c r="E5" s="12">
        <v>98</v>
      </c>
      <c r="F5" s="12">
        <v>1645</v>
      </c>
      <c r="L5" s="14" t="s">
        <v>2563</v>
      </c>
      <c r="M5" s="12">
        <v>4672</v>
      </c>
    </row>
    <row r="6" spans="1:13">
      <c r="A6" s="14" t="s">
        <v>39</v>
      </c>
      <c r="B6" s="12">
        <v>716</v>
      </c>
      <c r="C6" s="12">
        <v>598</v>
      </c>
      <c r="D6" s="12">
        <v>18</v>
      </c>
      <c r="E6" s="12">
        <v>214</v>
      </c>
      <c r="F6" s="12">
        <v>1546</v>
      </c>
      <c r="L6" s="14" t="s">
        <v>2564</v>
      </c>
      <c r="M6" s="12">
        <v>317</v>
      </c>
    </row>
    <row r="7" spans="1:13">
      <c r="A7" s="14" t="s">
        <v>26</v>
      </c>
      <c r="B7" s="12">
        <v>627</v>
      </c>
      <c r="C7" s="12">
        <v>393</v>
      </c>
      <c r="D7" s="12">
        <v>29</v>
      </c>
      <c r="E7" s="12">
        <v>137</v>
      </c>
      <c r="F7" s="12">
        <v>1186</v>
      </c>
      <c r="L7" s="14" t="s">
        <v>2565</v>
      </c>
      <c r="M7" s="12">
        <v>736</v>
      </c>
    </row>
    <row r="8" spans="1:13">
      <c r="A8" s="14" t="s">
        <v>22</v>
      </c>
      <c r="B8" s="12">
        <v>568</v>
      </c>
      <c r="C8" s="12">
        <v>306</v>
      </c>
      <c r="D8" s="12">
        <v>22</v>
      </c>
      <c r="E8" s="12">
        <v>16</v>
      </c>
      <c r="F8" s="12">
        <v>912</v>
      </c>
      <c r="L8" s="14" t="s">
        <v>2560</v>
      </c>
      <c r="M8" s="12">
        <v>11997</v>
      </c>
    </row>
    <row r="9" spans="1:13">
      <c r="A9" s="14" t="s">
        <v>54</v>
      </c>
      <c r="B9" s="12">
        <v>482</v>
      </c>
      <c r="C9" s="12">
        <v>295</v>
      </c>
      <c r="D9" s="12">
        <v>8</v>
      </c>
      <c r="E9" s="12">
        <v>22</v>
      </c>
      <c r="F9" s="12">
        <v>807</v>
      </c>
    </row>
    <row r="10" spans="1:13">
      <c r="A10" s="14" t="s">
        <v>16</v>
      </c>
      <c r="B10" s="12">
        <v>428</v>
      </c>
      <c r="C10" s="12">
        <v>293</v>
      </c>
      <c r="D10" s="12"/>
      <c r="E10" s="12">
        <v>24</v>
      </c>
      <c r="F10" s="12">
        <v>745</v>
      </c>
    </row>
    <row r="11" spans="1:13">
      <c r="A11" s="14" t="s">
        <v>46</v>
      </c>
      <c r="B11" s="12">
        <v>445</v>
      </c>
      <c r="C11" s="12">
        <v>202</v>
      </c>
      <c r="D11" s="12">
        <v>14</v>
      </c>
      <c r="E11" s="12">
        <v>39</v>
      </c>
      <c r="F11" s="12">
        <v>700</v>
      </c>
    </row>
    <row r="12" spans="1:13">
      <c r="A12" s="14" t="s">
        <v>32</v>
      </c>
      <c r="B12" s="12">
        <v>431</v>
      </c>
      <c r="C12" s="12">
        <v>187</v>
      </c>
      <c r="D12" s="12">
        <v>14</v>
      </c>
      <c r="E12" s="12">
        <v>15</v>
      </c>
      <c r="F12" s="12">
        <v>647</v>
      </c>
    </row>
    <row r="13" spans="1:13">
      <c r="A13" s="14" t="s">
        <v>42</v>
      </c>
      <c r="B13" s="12">
        <v>264</v>
      </c>
      <c r="C13" s="12">
        <v>318</v>
      </c>
      <c r="D13" s="12">
        <v>15</v>
      </c>
      <c r="E13" s="12">
        <v>9</v>
      </c>
      <c r="F13" s="12">
        <v>606</v>
      </c>
    </row>
    <row r="14" spans="1:13">
      <c r="A14" s="14" t="s">
        <v>37</v>
      </c>
      <c r="B14" s="12">
        <v>296</v>
      </c>
      <c r="C14" s="12">
        <v>275</v>
      </c>
      <c r="D14" s="12">
        <v>9</v>
      </c>
      <c r="E14" s="12">
        <v>23</v>
      </c>
      <c r="F14" s="12">
        <v>603</v>
      </c>
    </row>
    <row r="15" spans="1:13">
      <c r="A15" s="14" t="s">
        <v>123</v>
      </c>
      <c r="B15" s="12">
        <v>153</v>
      </c>
      <c r="C15" s="12">
        <v>246</v>
      </c>
      <c r="D15" s="12">
        <v>30</v>
      </c>
      <c r="E15" s="12">
        <v>8</v>
      </c>
      <c r="F15" s="12">
        <v>437</v>
      </c>
    </row>
    <row r="16" spans="1:13">
      <c r="A16" s="14" t="s">
        <v>146</v>
      </c>
      <c r="B16" s="12">
        <v>189</v>
      </c>
      <c r="C16" s="12">
        <v>168</v>
      </c>
      <c r="D16" s="12">
        <v>10</v>
      </c>
      <c r="E16" s="12">
        <v>31</v>
      </c>
      <c r="F16" s="12">
        <v>398</v>
      </c>
    </row>
    <row r="17" spans="1:6">
      <c r="A17" s="14" t="s">
        <v>69</v>
      </c>
      <c r="B17" s="12">
        <v>234</v>
      </c>
      <c r="C17" s="12">
        <v>93</v>
      </c>
      <c r="D17" s="12">
        <v>19</v>
      </c>
      <c r="E17" s="12">
        <v>24</v>
      </c>
      <c r="F17" s="12">
        <v>370</v>
      </c>
    </row>
    <row r="18" spans="1:6">
      <c r="A18" s="14" t="s">
        <v>30</v>
      </c>
      <c r="B18" s="12">
        <v>146</v>
      </c>
      <c r="C18" s="12">
        <v>94</v>
      </c>
      <c r="D18" s="12">
        <v>4</v>
      </c>
      <c r="E18" s="12">
        <v>28</v>
      </c>
      <c r="F18" s="12">
        <v>272</v>
      </c>
    </row>
    <row r="19" spans="1:6">
      <c r="A19" s="14" t="s">
        <v>135</v>
      </c>
      <c r="B19" s="12">
        <v>127</v>
      </c>
      <c r="C19" s="12">
        <v>118</v>
      </c>
      <c r="D19" s="12">
        <v>13</v>
      </c>
      <c r="E19" s="12">
        <v>12</v>
      </c>
      <c r="F19" s="12">
        <v>270</v>
      </c>
    </row>
    <row r="20" spans="1:6">
      <c r="A20" s="14" t="s">
        <v>67</v>
      </c>
      <c r="B20" s="12">
        <v>179</v>
      </c>
      <c r="C20" s="12">
        <v>76</v>
      </c>
      <c r="D20" s="12">
        <v>3</v>
      </c>
      <c r="E20" s="12"/>
      <c r="F20" s="12">
        <v>258</v>
      </c>
    </row>
    <row r="21" spans="1:6">
      <c r="A21" s="14" t="s">
        <v>128</v>
      </c>
      <c r="B21" s="12">
        <v>99</v>
      </c>
      <c r="C21" s="12">
        <v>69</v>
      </c>
      <c r="D21" s="12">
        <v>3</v>
      </c>
      <c r="E21" s="12">
        <v>24</v>
      </c>
      <c r="F21" s="12">
        <v>195</v>
      </c>
    </row>
    <row r="22" spans="1:6">
      <c r="A22" s="14" t="s">
        <v>76</v>
      </c>
      <c r="B22" s="12">
        <v>75</v>
      </c>
      <c r="C22" s="12">
        <v>103</v>
      </c>
      <c r="D22" s="12">
        <v>4</v>
      </c>
      <c r="E22" s="12">
        <v>6</v>
      </c>
      <c r="F22" s="12">
        <v>188</v>
      </c>
    </row>
    <row r="23" spans="1:6">
      <c r="A23" s="14" t="s">
        <v>81</v>
      </c>
      <c r="B23" s="12">
        <v>43</v>
      </c>
      <c r="C23" s="12">
        <v>90</v>
      </c>
      <c r="D23" s="12">
        <v>8</v>
      </c>
      <c r="E23" s="12">
        <v>6</v>
      </c>
      <c r="F23" s="12">
        <v>147</v>
      </c>
    </row>
    <row r="24" spans="1:6">
      <c r="A24" s="14" t="s">
        <v>171</v>
      </c>
      <c r="B24" s="12">
        <v>26</v>
      </c>
      <c r="C24" s="12">
        <v>35</v>
      </c>
      <c r="D24" s="12">
        <v>4</v>
      </c>
      <c r="E24" s="12"/>
      <c r="F24" s="12">
        <v>65</v>
      </c>
    </row>
    <row r="25" spans="1:6">
      <c r="A25" s="14" t="s">
        <v>2560</v>
      </c>
      <c r="B25" s="12">
        <v>6272</v>
      </c>
      <c r="C25" s="12">
        <v>4672</v>
      </c>
      <c r="D25" s="12">
        <v>317</v>
      </c>
      <c r="E25" s="12">
        <v>736</v>
      </c>
      <c r="F25" s="12">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3"/>
  <sheetViews>
    <sheetView workbookViewId="0">
      <selection sqref="A1:O133"/>
    </sheetView>
  </sheetViews>
  <sheetFormatPr defaultRowHeight="13.8"/>
  <cols>
    <col min="2" max="2" width="9.3984375" customWidth="1"/>
    <col min="3" max="3" width="10" customWidth="1"/>
    <col min="4" max="4" width="11.09765625" customWidth="1"/>
    <col min="5" max="5" width="9.5" customWidth="1"/>
    <col min="6" max="6" width="12.09765625" customWidth="1"/>
    <col min="7" max="7" width="11" customWidth="1"/>
    <col min="8" max="8" width="18.19921875" customWidth="1"/>
    <col min="9" max="9" width="12.8984375" customWidth="1"/>
    <col min="10" max="10" width="10" customWidth="1"/>
    <col min="12" max="12" width="8.8984375" customWidth="1"/>
    <col min="13" max="13" width="16" customWidth="1"/>
    <col min="14" max="14" width="11.3984375" customWidth="1"/>
    <col min="15" max="15" width="14.597656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2478</v>
      </c>
      <c r="B2" t="s">
        <v>54</v>
      </c>
      <c r="C2">
        <v>2</v>
      </c>
      <c r="D2">
        <v>25.1</v>
      </c>
      <c r="E2">
        <v>50.2</v>
      </c>
      <c r="F2" s="29">
        <v>45745</v>
      </c>
      <c r="G2" s="29">
        <v>45747</v>
      </c>
      <c r="H2" t="s">
        <v>17</v>
      </c>
      <c r="I2" t="s">
        <v>35</v>
      </c>
      <c r="J2">
        <v>4</v>
      </c>
      <c r="K2" t="s">
        <v>19</v>
      </c>
      <c r="L2" t="s">
        <v>115</v>
      </c>
      <c r="M2">
        <v>2</v>
      </c>
      <c r="N2">
        <v>13</v>
      </c>
      <c r="O2" t="s">
        <v>2565</v>
      </c>
    </row>
    <row r="3" spans="1:15">
      <c r="A3" t="s">
        <v>2477</v>
      </c>
      <c r="B3" t="s">
        <v>81</v>
      </c>
      <c r="C3">
        <v>5</v>
      </c>
      <c r="D3">
        <v>15.8</v>
      </c>
      <c r="E3">
        <v>79</v>
      </c>
      <c r="F3" s="29">
        <v>45745</v>
      </c>
      <c r="G3" s="29">
        <v>45746</v>
      </c>
      <c r="H3" t="s">
        <v>23</v>
      </c>
      <c r="I3" t="s">
        <v>51</v>
      </c>
      <c r="J3">
        <v>5</v>
      </c>
      <c r="K3" t="s">
        <v>19</v>
      </c>
      <c r="L3" t="s">
        <v>115</v>
      </c>
      <c r="M3">
        <v>1</v>
      </c>
      <c r="N3">
        <v>13</v>
      </c>
      <c r="O3" t="s">
        <v>2563</v>
      </c>
    </row>
    <row r="4" spans="1:15">
      <c r="A4" t="s">
        <v>2367</v>
      </c>
      <c r="B4" t="s">
        <v>39</v>
      </c>
      <c r="C4">
        <v>1</v>
      </c>
      <c r="D4">
        <v>72.599999999999994</v>
      </c>
      <c r="E4">
        <v>72.599999999999994</v>
      </c>
      <c r="F4" s="29">
        <v>45741</v>
      </c>
      <c r="G4" s="29">
        <v>45742</v>
      </c>
      <c r="H4" t="s">
        <v>23</v>
      </c>
      <c r="I4" t="s">
        <v>18</v>
      </c>
      <c r="J4">
        <v>3</v>
      </c>
      <c r="K4" t="s">
        <v>19</v>
      </c>
      <c r="L4" t="s">
        <v>115</v>
      </c>
      <c r="M4">
        <v>1</v>
      </c>
      <c r="N4">
        <v>13</v>
      </c>
      <c r="O4" t="s">
        <v>2563</v>
      </c>
    </row>
    <row r="5" spans="1:15">
      <c r="A5" t="s">
        <v>2321</v>
      </c>
      <c r="B5" t="s">
        <v>135</v>
      </c>
      <c r="C5">
        <v>2</v>
      </c>
      <c r="D5">
        <v>45.1</v>
      </c>
      <c r="E5">
        <v>90.2</v>
      </c>
      <c r="F5" s="29">
        <v>45739</v>
      </c>
      <c r="G5" s="29">
        <v>45740</v>
      </c>
      <c r="H5" t="s">
        <v>23</v>
      </c>
      <c r="I5" t="s">
        <v>35</v>
      </c>
      <c r="J5">
        <v>3</v>
      </c>
      <c r="K5" t="s">
        <v>19</v>
      </c>
      <c r="L5" t="s">
        <v>115</v>
      </c>
      <c r="M5">
        <v>1</v>
      </c>
      <c r="N5">
        <v>13</v>
      </c>
      <c r="O5" t="s">
        <v>2563</v>
      </c>
    </row>
    <row r="6" spans="1:15">
      <c r="A6" t="s">
        <v>2308</v>
      </c>
      <c r="B6" t="s">
        <v>37</v>
      </c>
      <c r="C6">
        <v>15</v>
      </c>
      <c r="D6">
        <v>85.5</v>
      </c>
      <c r="E6">
        <v>1282.5</v>
      </c>
      <c r="F6" s="29">
        <v>45738</v>
      </c>
      <c r="G6" s="29">
        <v>45740</v>
      </c>
      <c r="H6" t="s">
        <v>27</v>
      </c>
      <c r="I6" t="s">
        <v>51</v>
      </c>
      <c r="J6">
        <v>3</v>
      </c>
      <c r="K6" t="s">
        <v>19</v>
      </c>
      <c r="L6" t="s">
        <v>115</v>
      </c>
      <c r="M6">
        <v>2</v>
      </c>
      <c r="N6">
        <v>12</v>
      </c>
      <c r="O6" t="s">
        <v>2562</v>
      </c>
    </row>
    <row r="7" spans="1:15">
      <c r="A7" t="s">
        <v>2307</v>
      </c>
      <c r="B7" t="s">
        <v>44</v>
      </c>
      <c r="C7">
        <v>4</v>
      </c>
      <c r="D7">
        <v>32.9</v>
      </c>
      <c r="E7">
        <v>131.6</v>
      </c>
      <c r="F7" s="29">
        <v>45738</v>
      </c>
      <c r="G7" s="29">
        <v>45741</v>
      </c>
      <c r="H7" t="s">
        <v>27</v>
      </c>
      <c r="I7" t="s">
        <v>70</v>
      </c>
      <c r="J7">
        <v>5</v>
      </c>
      <c r="K7" t="s">
        <v>19</v>
      </c>
      <c r="L7" t="s">
        <v>115</v>
      </c>
      <c r="M7">
        <v>3</v>
      </c>
      <c r="N7">
        <v>12</v>
      </c>
      <c r="O7" t="s">
        <v>2562</v>
      </c>
    </row>
    <row r="8" spans="1:15">
      <c r="A8" t="s">
        <v>2273</v>
      </c>
      <c r="B8" t="s">
        <v>26</v>
      </c>
      <c r="C8">
        <v>2</v>
      </c>
      <c r="D8">
        <v>61.3</v>
      </c>
      <c r="E8">
        <v>122.6</v>
      </c>
      <c r="F8" s="29">
        <v>45737</v>
      </c>
      <c r="G8" s="29">
        <v>45738</v>
      </c>
      <c r="H8" t="s">
        <v>27</v>
      </c>
      <c r="I8" t="s">
        <v>35</v>
      </c>
      <c r="J8">
        <v>3</v>
      </c>
      <c r="K8" t="s">
        <v>19</v>
      </c>
      <c r="L8" t="s">
        <v>115</v>
      </c>
      <c r="M8">
        <v>1</v>
      </c>
      <c r="N8">
        <v>12</v>
      </c>
      <c r="O8" t="s">
        <v>2562</v>
      </c>
    </row>
    <row r="9" spans="1:15">
      <c r="A9" t="s">
        <v>2272</v>
      </c>
      <c r="B9" t="s">
        <v>146</v>
      </c>
      <c r="C9">
        <v>2</v>
      </c>
      <c r="D9">
        <v>76.400000000000006</v>
      </c>
      <c r="E9">
        <v>152.80000000000001</v>
      </c>
      <c r="F9" s="29">
        <v>45737</v>
      </c>
      <c r="G9" s="29">
        <v>45737</v>
      </c>
      <c r="H9" t="s">
        <v>23</v>
      </c>
      <c r="I9" t="s">
        <v>51</v>
      </c>
      <c r="J9">
        <v>4</v>
      </c>
      <c r="K9" t="s">
        <v>19</v>
      </c>
      <c r="L9" t="s">
        <v>115</v>
      </c>
      <c r="M9">
        <v>0</v>
      </c>
      <c r="N9">
        <v>12</v>
      </c>
      <c r="O9" t="s">
        <v>2563</v>
      </c>
    </row>
    <row r="10" spans="1:15">
      <c r="A10" t="s">
        <v>2271</v>
      </c>
      <c r="B10" t="s">
        <v>39</v>
      </c>
      <c r="C10">
        <v>4</v>
      </c>
      <c r="D10">
        <v>69.099999999999994</v>
      </c>
      <c r="E10">
        <v>276.39999999999998</v>
      </c>
      <c r="F10" s="29">
        <v>45737</v>
      </c>
      <c r="G10" s="29">
        <v>45738</v>
      </c>
      <c r="H10" t="s">
        <v>23</v>
      </c>
      <c r="I10" t="s">
        <v>35</v>
      </c>
      <c r="J10">
        <v>5</v>
      </c>
      <c r="K10" t="s">
        <v>19</v>
      </c>
      <c r="L10" t="s">
        <v>115</v>
      </c>
      <c r="M10">
        <v>1</v>
      </c>
      <c r="N10">
        <v>12</v>
      </c>
      <c r="O10" t="s">
        <v>2563</v>
      </c>
    </row>
    <row r="11" spans="1:15">
      <c r="A11" t="s">
        <v>2242</v>
      </c>
      <c r="B11" t="s">
        <v>32</v>
      </c>
      <c r="C11">
        <v>1</v>
      </c>
      <c r="D11">
        <v>24.4</v>
      </c>
      <c r="E11">
        <v>24.4</v>
      </c>
      <c r="F11" s="29">
        <v>45736</v>
      </c>
      <c r="G11" s="29">
        <v>45737</v>
      </c>
      <c r="H11" t="s">
        <v>27</v>
      </c>
      <c r="I11" t="s">
        <v>70</v>
      </c>
      <c r="J11">
        <v>5</v>
      </c>
      <c r="K11" t="s">
        <v>19</v>
      </c>
      <c r="L11" t="s">
        <v>115</v>
      </c>
      <c r="M11">
        <v>1</v>
      </c>
      <c r="N11">
        <v>12</v>
      </c>
      <c r="O11" t="s">
        <v>2562</v>
      </c>
    </row>
    <row r="12" spans="1:15">
      <c r="A12" t="s">
        <v>2201</v>
      </c>
      <c r="B12" t="s">
        <v>54</v>
      </c>
      <c r="C12">
        <v>7</v>
      </c>
      <c r="D12">
        <v>43.3</v>
      </c>
      <c r="E12">
        <v>303.09999999999997</v>
      </c>
      <c r="F12" s="29">
        <v>45735</v>
      </c>
      <c r="G12" s="29">
        <v>45736</v>
      </c>
      <c r="H12" t="s">
        <v>23</v>
      </c>
      <c r="I12" t="s">
        <v>40</v>
      </c>
      <c r="J12">
        <v>4</v>
      </c>
      <c r="K12" t="s">
        <v>19</v>
      </c>
      <c r="L12" t="s">
        <v>115</v>
      </c>
      <c r="M12">
        <v>1</v>
      </c>
      <c r="N12">
        <v>12</v>
      </c>
      <c r="O12" t="s">
        <v>2563</v>
      </c>
    </row>
    <row r="13" spans="1:15">
      <c r="A13" t="s">
        <v>2200</v>
      </c>
      <c r="B13" t="s">
        <v>39</v>
      </c>
      <c r="C13">
        <v>5</v>
      </c>
      <c r="D13">
        <v>50.4</v>
      </c>
      <c r="E13">
        <v>252</v>
      </c>
      <c r="F13" s="29">
        <v>45735</v>
      </c>
      <c r="G13" s="29">
        <v>45736</v>
      </c>
      <c r="H13" t="s">
        <v>23</v>
      </c>
      <c r="I13" t="s">
        <v>35</v>
      </c>
      <c r="J13">
        <v>5</v>
      </c>
      <c r="K13" t="s">
        <v>19</v>
      </c>
      <c r="L13" t="s">
        <v>115</v>
      </c>
      <c r="M13">
        <v>1</v>
      </c>
      <c r="N13">
        <v>12</v>
      </c>
      <c r="O13" t="s">
        <v>2563</v>
      </c>
    </row>
    <row r="14" spans="1:15">
      <c r="A14" t="s">
        <v>2199</v>
      </c>
      <c r="B14" t="s">
        <v>37</v>
      </c>
      <c r="C14">
        <v>1</v>
      </c>
      <c r="D14">
        <v>80.099999999999994</v>
      </c>
      <c r="E14">
        <v>80.099999999999994</v>
      </c>
      <c r="F14" s="29">
        <v>45735</v>
      </c>
      <c r="G14" s="29">
        <v>45736</v>
      </c>
      <c r="H14" t="s">
        <v>23</v>
      </c>
      <c r="I14" t="s">
        <v>40</v>
      </c>
      <c r="J14">
        <v>4</v>
      </c>
      <c r="K14" t="s">
        <v>19</v>
      </c>
      <c r="L14" t="s">
        <v>115</v>
      </c>
      <c r="M14">
        <v>1</v>
      </c>
      <c r="N14">
        <v>12</v>
      </c>
      <c r="O14" t="s">
        <v>2563</v>
      </c>
    </row>
    <row r="15" spans="1:15">
      <c r="A15" t="s">
        <v>2139</v>
      </c>
      <c r="B15" t="s">
        <v>22</v>
      </c>
      <c r="C15">
        <v>3</v>
      </c>
      <c r="D15">
        <v>42.1</v>
      </c>
      <c r="E15">
        <v>126.30000000000001</v>
      </c>
      <c r="F15" s="29">
        <v>45732</v>
      </c>
      <c r="G15" s="29">
        <v>45735</v>
      </c>
      <c r="H15" t="s">
        <v>23</v>
      </c>
      <c r="I15" t="s">
        <v>35</v>
      </c>
      <c r="J15">
        <v>3</v>
      </c>
      <c r="K15" t="s">
        <v>19</v>
      </c>
      <c r="L15" t="s">
        <v>115</v>
      </c>
      <c r="M15">
        <v>3</v>
      </c>
      <c r="N15">
        <v>12</v>
      </c>
      <c r="O15" t="s">
        <v>2563</v>
      </c>
    </row>
    <row r="16" spans="1:15">
      <c r="A16" t="s">
        <v>2138</v>
      </c>
      <c r="B16" t="s">
        <v>26</v>
      </c>
      <c r="C16">
        <v>1</v>
      </c>
      <c r="D16">
        <v>75.900000000000006</v>
      </c>
      <c r="E16">
        <v>75.900000000000006</v>
      </c>
      <c r="F16" s="29">
        <v>45732</v>
      </c>
      <c r="G16" s="29">
        <v>45732</v>
      </c>
      <c r="H16" t="s">
        <v>23</v>
      </c>
      <c r="I16" t="s">
        <v>35</v>
      </c>
      <c r="J16">
        <v>5</v>
      </c>
      <c r="K16" t="s">
        <v>19</v>
      </c>
      <c r="L16" t="s">
        <v>115</v>
      </c>
      <c r="M16">
        <v>0</v>
      </c>
      <c r="N16">
        <v>12</v>
      </c>
      <c r="O16" t="s">
        <v>2563</v>
      </c>
    </row>
    <row r="17" spans="1:15">
      <c r="A17" t="s">
        <v>2137</v>
      </c>
      <c r="B17" t="s">
        <v>32</v>
      </c>
      <c r="C17">
        <v>1</v>
      </c>
      <c r="D17">
        <v>34.6</v>
      </c>
      <c r="E17">
        <v>34.6</v>
      </c>
      <c r="F17" s="29">
        <v>45732</v>
      </c>
      <c r="G17" s="29">
        <v>45733</v>
      </c>
      <c r="H17" t="s">
        <v>27</v>
      </c>
      <c r="I17" t="s">
        <v>70</v>
      </c>
      <c r="J17">
        <v>4</v>
      </c>
      <c r="K17" t="s">
        <v>19</v>
      </c>
      <c r="L17" t="s">
        <v>115</v>
      </c>
      <c r="M17">
        <v>1</v>
      </c>
      <c r="N17">
        <v>12</v>
      </c>
      <c r="O17" t="s">
        <v>2562</v>
      </c>
    </row>
    <row r="18" spans="1:15">
      <c r="A18" t="s">
        <v>2136</v>
      </c>
      <c r="B18" t="s">
        <v>44</v>
      </c>
      <c r="C18">
        <v>2</v>
      </c>
      <c r="D18">
        <v>32.5</v>
      </c>
      <c r="E18">
        <v>65</v>
      </c>
      <c r="F18" s="29">
        <v>45732</v>
      </c>
      <c r="G18" s="29">
        <v>45735</v>
      </c>
      <c r="H18" t="s">
        <v>27</v>
      </c>
      <c r="I18" t="s">
        <v>35</v>
      </c>
      <c r="J18">
        <v>4</v>
      </c>
      <c r="K18" t="s">
        <v>19</v>
      </c>
      <c r="L18" t="s">
        <v>115</v>
      </c>
      <c r="M18">
        <v>3</v>
      </c>
      <c r="N18">
        <v>12</v>
      </c>
      <c r="O18" t="s">
        <v>2562</v>
      </c>
    </row>
    <row r="19" spans="1:15">
      <c r="A19" t="s">
        <v>2135</v>
      </c>
      <c r="B19" t="s">
        <v>44</v>
      </c>
      <c r="C19">
        <v>2</v>
      </c>
      <c r="D19">
        <v>17.5</v>
      </c>
      <c r="E19">
        <v>35</v>
      </c>
      <c r="F19" s="29">
        <v>45732</v>
      </c>
      <c r="G19" s="29">
        <v>45735</v>
      </c>
      <c r="H19" t="s">
        <v>27</v>
      </c>
      <c r="I19" t="s">
        <v>18</v>
      </c>
      <c r="J19">
        <v>4</v>
      </c>
      <c r="K19" t="s">
        <v>19</v>
      </c>
      <c r="L19" t="s">
        <v>115</v>
      </c>
      <c r="M19">
        <v>3</v>
      </c>
      <c r="N19">
        <v>12</v>
      </c>
      <c r="O19" t="s">
        <v>2562</v>
      </c>
    </row>
    <row r="20" spans="1:15">
      <c r="A20" t="s">
        <v>2105</v>
      </c>
      <c r="B20" t="s">
        <v>46</v>
      </c>
      <c r="C20">
        <v>2</v>
      </c>
      <c r="D20">
        <v>21.1</v>
      </c>
      <c r="E20">
        <v>42.2</v>
      </c>
      <c r="F20" s="29">
        <v>45731</v>
      </c>
      <c r="G20" s="29">
        <v>45732</v>
      </c>
      <c r="H20" t="s">
        <v>17</v>
      </c>
      <c r="I20" t="s">
        <v>51</v>
      </c>
      <c r="J20">
        <v>3</v>
      </c>
      <c r="K20" t="s">
        <v>19</v>
      </c>
      <c r="L20" t="s">
        <v>115</v>
      </c>
      <c r="M20">
        <v>1</v>
      </c>
      <c r="N20">
        <v>11</v>
      </c>
      <c r="O20" t="s">
        <v>2565</v>
      </c>
    </row>
    <row r="21" spans="1:15">
      <c r="A21" t="s">
        <v>2104</v>
      </c>
      <c r="B21" t="s">
        <v>123</v>
      </c>
      <c r="C21">
        <v>14</v>
      </c>
      <c r="D21">
        <v>43.2</v>
      </c>
      <c r="E21">
        <v>604.80000000000007</v>
      </c>
      <c r="F21" s="29">
        <v>45731</v>
      </c>
      <c r="G21" s="29">
        <v>45732</v>
      </c>
      <c r="H21" t="s">
        <v>89</v>
      </c>
      <c r="I21" t="s">
        <v>18</v>
      </c>
      <c r="J21">
        <v>3</v>
      </c>
      <c r="K21" t="s">
        <v>19</v>
      </c>
      <c r="L21" t="s">
        <v>115</v>
      </c>
      <c r="M21">
        <v>1</v>
      </c>
      <c r="N21">
        <v>11</v>
      </c>
      <c r="O21" t="s">
        <v>2564</v>
      </c>
    </row>
    <row r="22" spans="1:15">
      <c r="A22" t="s">
        <v>2103</v>
      </c>
      <c r="B22" t="s">
        <v>135</v>
      </c>
      <c r="C22">
        <v>6</v>
      </c>
      <c r="D22">
        <v>21.1</v>
      </c>
      <c r="E22">
        <v>126.60000000000001</v>
      </c>
      <c r="F22" s="29">
        <v>45731</v>
      </c>
      <c r="G22" s="29">
        <v>45732</v>
      </c>
      <c r="H22" t="s">
        <v>23</v>
      </c>
      <c r="I22" t="s">
        <v>35</v>
      </c>
      <c r="J22">
        <v>5</v>
      </c>
      <c r="K22" t="s">
        <v>19</v>
      </c>
      <c r="L22" t="s">
        <v>115</v>
      </c>
      <c r="M22">
        <v>1</v>
      </c>
      <c r="N22">
        <v>11</v>
      </c>
      <c r="O22" t="s">
        <v>2563</v>
      </c>
    </row>
    <row r="23" spans="1:15">
      <c r="A23" t="s">
        <v>2071</v>
      </c>
      <c r="B23" t="s">
        <v>26</v>
      </c>
      <c r="C23">
        <v>3</v>
      </c>
      <c r="D23">
        <v>123.1</v>
      </c>
      <c r="E23">
        <v>369.29999999999995</v>
      </c>
      <c r="F23" s="29">
        <v>45729</v>
      </c>
      <c r="G23" s="29">
        <v>45731</v>
      </c>
      <c r="H23" t="s">
        <v>17</v>
      </c>
      <c r="I23" t="s">
        <v>40</v>
      </c>
      <c r="J23">
        <v>4</v>
      </c>
      <c r="K23" t="s">
        <v>19</v>
      </c>
      <c r="L23" t="s">
        <v>115</v>
      </c>
      <c r="M23">
        <v>2</v>
      </c>
      <c r="N23">
        <v>11</v>
      </c>
      <c r="O23" t="s">
        <v>2565</v>
      </c>
    </row>
    <row r="24" spans="1:15">
      <c r="A24" t="s">
        <v>2054</v>
      </c>
      <c r="B24" t="s">
        <v>30</v>
      </c>
      <c r="C24">
        <v>6</v>
      </c>
      <c r="D24">
        <v>83.8</v>
      </c>
      <c r="E24">
        <v>502.79999999999995</v>
      </c>
      <c r="F24" s="29">
        <v>45729</v>
      </c>
      <c r="G24" s="29">
        <v>45730</v>
      </c>
      <c r="H24" t="s">
        <v>23</v>
      </c>
      <c r="I24" t="s">
        <v>18</v>
      </c>
      <c r="J24">
        <v>4</v>
      </c>
      <c r="K24" t="s">
        <v>19</v>
      </c>
      <c r="L24" t="s">
        <v>115</v>
      </c>
      <c r="M24">
        <v>1</v>
      </c>
      <c r="N24">
        <v>11</v>
      </c>
      <c r="O24" t="s">
        <v>2563</v>
      </c>
    </row>
    <row r="25" spans="1:15">
      <c r="A25" t="s">
        <v>2032</v>
      </c>
      <c r="B25" t="s">
        <v>30</v>
      </c>
      <c r="C25">
        <v>5</v>
      </c>
      <c r="D25">
        <v>69</v>
      </c>
      <c r="E25">
        <v>345</v>
      </c>
      <c r="F25" s="29">
        <v>45728</v>
      </c>
      <c r="G25" s="29">
        <v>45732</v>
      </c>
      <c r="H25" t="s">
        <v>23</v>
      </c>
      <c r="I25" t="s">
        <v>51</v>
      </c>
      <c r="J25">
        <v>4</v>
      </c>
      <c r="K25" t="s">
        <v>19</v>
      </c>
      <c r="L25" t="s">
        <v>115</v>
      </c>
      <c r="M25">
        <v>4</v>
      </c>
      <c r="N25">
        <v>11</v>
      </c>
      <c r="O25" t="s">
        <v>2563</v>
      </c>
    </row>
    <row r="26" spans="1:15">
      <c r="A26" t="s">
        <v>2031</v>
      </c>
      <c r="B26" t="s">
        <v>54</v>
      </c>
      <c r="C26">
        <v>2</v>
      </c>
      <c r="D26">
        <v>50.6</v>
      </c>
      <c r="E26">
        <v>101.2</v>
      </c>
      <c r="F26" s="29">
        <v>45728</v>
      </c>
      <c r="G26" s="29">
        <v>45731</v>
      </c>
      <c r="H26" t="s">
        <v>23</v>
      </c>
      <c r="I26" t="s">
        <v>40</v>
      </c>
      <c r="J26">
        <v>2</v>
      </c>
      <c r="K26" t="s">
        <v>19</v>
      </c>
      <c r="L26" t="s">
        <v>115</v>
      </c>
      <c r="M26">
        <v>3</v>
      </c>
      <c r="N26">
        <v>11</v>
      </c>
      <c r="O26" t="s">
        <v>2563</v>
      </c>
    </row>
    <row r="27" spans="1:15">
      <c r="A27" t="s">
        <v>2030</v>
      </c>
      <c r="B27" t="s">
        <v>69</v>
      </c>
      <c r="C27">
        <v>3</v>
      </c>
      <c r="D27">
        <v>65.5</v>
      </c>
      <c r="E27">
        <v>196.5</v>
      </c>
      <c r="F27" s="29">
        <v>45728</v>
      </c>
      <c r="G27" s="29">
        <v>45736</v>
      </c>
      <c r="H27" t="s">
        <v>27</v>
      </c>
      <c r="I27" t="s">
        <v>18</v>
      </c>
      <c r="J27">
        <v>4</v>
      </c>
      <c r="K27" t="s">
        <v>19</v>
      </c>
      <c r="L27" t="s">
        <v>115</v>
      </c>
      <c r="M27">
        <v>8</v>
      </c>
      <c r="N27">
        <v>11</v>
      </c>
      <c r="O27" t="s">
        <v>2562</v>
      </c>
    </row>
    <row r="28" spans="1:15">
      <c r="A28" t="s">
        <v>1999</v>
      </c>
      <c r="B28" t="s">
        <v>146</v>
      </c>
      <c r="C28">
        <v>1</v>
      </c>
      <c r="D28">
        <v>33</v>
      </c>
      <c r="E28">
        <v>33</v>
      </c>
      <c r="F28" s="29">
        <v>45727</v>
      </c>
      <c r="G28" s="29">
        <v>45730</v>
      </c>
      <c r="H28" t="s">
        <v>23</v>
      </c>
      <c r="I28" t="s">
        <v>70</v>
      </c>
      <c r="J28">
        <v>4</v>
      </c>
      <c r="K28" t="s">
        <v>19</v>
      </c>
      <c r="L28" t="s">
        <v>115</v>
      </c>
      <c r="M28">
        <v>3</v>
      </c>
      <c r="N28">
        <v>11</v>
      </c>
      <c r="O28" t="s">
        <v>2563</v>
      </c>
    </row>
    <row r="29" spans="1:15">
      <c r="A29" t="s">
        <v>1954</v>
      </c>
      <c r="B29" t="s">
        <v>16</v>
      </c>
      <c r="C29">
        <v>5</v>
      </c>
      <c r="D29">
        <v>20.100000000000001</v>
      </c>
      <c r="E29">
        <v>100.5</v>
      </c>
      <c r="F29" s="29">
        <v>45725</v>
      </c>
      <c r="G29" s="29">
        <v>45727</v>
      </c>
      <c r="H29" t="s">
        <v>27</v>
      </c>
      <c r="I29" t="s">
        <v>35</v>
      </c>
      <c r="J29">
        <v>5</v>
      </c>
      <c r="K29" t="s">
        <v>19</v>
      </c>
      <c r="L29" t="s">
        <v>115</v>
      </c>
      <c r="M29">
        <v>2</v>
      </c>
      <c r="N29">
        <v>11</v>
      </c>
      <c r="O29" t="s">
        <v>2562</v>
      </c>
    </row>
    <row r="30" spans="1:15">
      <c r="A30" t="s">
        <v>1953</v>
      </c>
      <c r="B30" t="s">
        <v>69</v>
      </c>
      <c r="C30">
        <v>2</v>
      </c>
      <c r="D30">
        <v>55.4</v>
      </c>
      <c r="E30">
        <v>110.8</v>
      </c>
      <c r="F30" s="29">
        <v>45725</v>
      </c>
      <c r="G30" s="29">
        <v>45726</v>
      </c>
      <c r="H30" t="s">
        <v>27</v>
      </c>
      <c r="I30" t="s">
        <v>18</v>
      </c>
      <c r="J30">
        <v>5</v>
      </c>
      <c r="K30" t="s">
        <v>19</v>
      </c>
      <c r="L30" t="s">
        <v>115</v>
      </c>
      <c r="M30">
        <v>1</v>
      </c>
      <c r="N30">
        <v>11</v>
      </c>
      <c r="O30" t="s">
        <v>2562</v>
      </c>
    </row>
    <row r="31" spans="1:15">
      <c r="A31" t="s">
        <v>1914</v>
      </c>
      <c r="B31" t="s">
        <v>16</v>
      </c>
      <c r="C31">
        <v>1</v>
      </c>
      <c r="D31">
        <v>43.5</v>
      </c>
      <c r="E31">
        <v>43.5</v>
      </c>
      <c r="F31" s="29">
        <v>45724</v>
      </c>
      <c r="G31" s="29">
        <v>45725</v>
      </c>
      <c r="H31" t="s">
        <v>27</v>
      </c>
      <c r="I31" t="s">
        <v>40</v>
      </c>
      <c r="J31">
        <v>5</v>
      </c>
      <c r="K31" t="s">
        <v>19</v>
      </c>
      <c r="L31" t="s">
        <v>115</v>
      </c>
      <c r="M31">
        <v>1</v>
      </c>
      <c r="N31">
        <v>10</v>
      </c>
      <c r="O31" t="s">
        <v>2562</v>
      </c>
    </row>
    <row r="32" spans="1:15">
      <c r="A32" t="s">
        <v>1913</v>
      </c>
      <c r="B32" t="s">
        <v>26</v>
      </c>
      <c r="C32">
        <v>2</v>
      </c>
      <c r="D32">
        <v>233</v>
      </c>
      <c r="E32">
        <v>466</v>
      </c>
      <c r="F32" s="29">
        <v>45724</v>
      </c>
      <c r="G32" s="29">
        <v>45727</v>
      </c>
      <c r="H32" t="s">
        <v>27</v>
      </c>
      <c r="I32" t="s">
        <v>35</v>
      </c>
      <c r="J32">
        <v>4</v>
      </c>
      <c r="K32" t="s">
        <v>19</v>
      </c>
      <c r="L32" t="s">
        <v>115</v>
      </c>
      <c r="M32">
        <v>3</v>
      </c>
      <c r="N32">
        <v>10</v>
      </c>
      <c r="O32" t="s">
        <v>2562</v>
      </c>
    </row>
    <row r="33" spans="1:15">
      <c r="A33" t="s">
        <v>1912</v>
      </c>
      <c r="B33" t="s">
        <v>26</v>
      </c>
      <c r="C33">
        <v>4</v>
      </c>
      <c r="D33">
        <v>172.1</v>
      </c>
      <c r="E33">
        <v>688.4</v>
      </c>
      <c r="F33" s="29">
        <v>45724</v>
      </c>
      <c r="G33" s="29">
        <v>45728</v>
      </c>
      <c r="H33" t="s">
        <v>89</v>
      </c>
      <c r="I33" t="s">
        <v>40</v>
      </c>
      <c r="J33">
        <v>5</v>
      </c>
      <c r="K33" t="s">
        <v>19</v>
      </c>
      <c r="L33" t="s">
        <v>115</v>
      </c>
      <c r="M33">
        <v>4</v>
      </c>
      <c r="N33">
        <v>10</v>
      </c>
      <c r="O33" t="s">
        <v>2564</v>
      </c>
    </row>
    <row r="34" spans="1:15">
      <c r="A34" t="s">
        <v>1881</v>
      </c>
      <c r="B34" t="s">
        <v>39</v>
      </c>
      <c r="C34">
        <v>2</v>
      </c>
      <c r="D34">
        <v>81</v>
      </c>
      <c r="E34">
        <v>162</v>
      </c>
      <c r="F34" s="29">
        <v>45722</v>
      </c>
      <c r="G34" s="29">
        <v>45723</v>
      </c>
      <c r="H34" t="s">
        <v>27</v>
      </c>
      <c r="I34" t="s">
        <v>35</v>
      </c>
      <c r="J34">
        <v>5</v>
      </c>
      <c r="K34" t="s">
        <v>19</v>
      </c>
      <c r="L34" t="s">
        <v>115</v>
      </c>
      <c r="M34">
        <v>1</v>
      </c>
      <c r="N34">
        <v>10</v>
      </c>
      <c r="O34" t="s">
        <v>2562</v>
      </c>
    </row>
    <row r="35" spans="1:15">
      <c r="A35" t="s">
        <v>1880</v>
      </c>
      <c r="B35" t="s">
        <v>39</v>
      </c>
      <c r="C35">
        <v>3</v>
      </c>
      <c r="D35">
        <v>48.4</v>
      </c>
      <c r="E35">
        <v>145.19999999999999</v>
      </c>
      <c r="F35" s="29">
        <v>45722</v>
      </c>
      <c r="G35" s="29">
        <v>45727</v>
      </c>
      <c r="H35" t="s">
        <v>27</v>
      </c>
      <c r="I35" t="s">
        <v>18</v>
      </c>
      <c r="J35">
        <v>5</v>
      </c>
      <c r="K35" t="s">
        <v>19</v>
      </c>
      <c r="L35" t="s">
        <v>115</v>
      </c>
      <c r="M35">
        <v>5</v>
      </c>
      <c r="N35">
        <v>10</v>
      </c>
      <c r="O35" t="s">
        <v>2562</v>
      </c>
    </row>
    <row r="36" spans="1:15">
      <c r="A36" t="s">
        <v>1879</v>
      </c>
      <c r="B36" t="s">
        <v>44</v>
      </c>
      <c r="C36">
        <v>2</v>
      </c>
      <c r="D36">
        <v>20.2</v>
      </c>
      <c r="E36">
        <v>40.4</v>
      </c>
      <c r="F36" s="29">
        <v>45722</v>
      </c>
      <c r="G36" s="29">
        <v>45724</v>
      </c>
      <c r="H36" t="s">
        <v>27</v>
      </c>
      <c r="I36" t="s">
        <v>51</v>
      </c>
      <c r="J36">
        <v>4</v>
      </c>
      <c r="K36" t="s">
        <v>19</v>
      </c>
      <c r="L36" t="s">
        <v>115</v>
      </c>
      <c r="M36">
        <v>2</v>
      </c>
      <c r="N36">
        <v>10</v>
      </c>
      <c r="O36" t="s">
        <v>2562</v>
      </c>
    </row>
    <row r="37" spans="1:15">
      <c r="A37" t="s">
        <v>1864</v>
      </c>
      <c r="B37" t="s">
        <v>146</v>
      </c>
      <c r="C37">
        <v>7</v>
      </c>
      <c r="D37">
        <v>61.6</v>
      </c>
      <c r="E37">
        <v>431.2</v>
      </c>
      <c r="F37" s="29">
        <v>45722</v>
      </c>
      <c r="G37" s="29">
        <v>45723</v>
      </c>
      <c r="H37" t="s">
        <v>23</v>
      </c>
      <c r="I37" t="s">
        <v>40</v>
      </c>
      <c r="J37">
        <v>4</v>
      </c>
      <c r="K37" t="s">
        <v>19</v>
      </c>
      <c r="L37" t="s">
        <v>115</v>
      </c>
      <c r="M37">
        <v>1</v>
      </c>
      <c r="N37">
        <v>10</v>
      </c>
      <c r="O37" t="s">
        <v>2563</v>
      </c>
    </row>
    <row r="38" spans="1:15">
      <c r="A38" t="s">
        <v>1835</v>
      </c>
      <c r="B38" t="s">
        <v>37</v>
      </c>
      <c r="C38">
        <v>7</v>
      </c>
      <c r="D38">
        <v>91.2</v>
      </c>
      <c r="E38">
        <v>638.4</v>
      </c>
      <c r="F38" s="29">
        <v>45721</v>
      </c>
      <c r="G38" s="29">
        <v>45722</v>
      </c>
      <c r="H38" t="s">
        <v>23</v>
      </c>
      <c r="I38" t="s">
        <v>35</v>
      </c>
      <c r="J38">
        <v>5</v>
      </c>
      <c r="K38" t="s">
        <v>19</v>
      </c>
      <c r="L38" t="s">
        <v>115</v>
      </c>
      <c r="M38">
        <v>1</v>
      </c>
      <c r="N38">
        <v>10</v>
      </c>
      <c r="O38" t="s">
        <v>2563</v>
      </c>
    </row>
    <row r="39" spans="1:15">
      <c r="A39" t="s">
        <v>1834</v>
      </c>
      <c r="B39" t="s">
        <v>42</v>
      </c>
      <c r="C39">
        <v>5</v>
      </c>
      <c r="D39">
        <v>73.599999999999994</v>
      </c>
      <c r="E39">
        <v>368</v>
      </c>
      <c r="F39" s="29">
        <v>45721</v>
      </c>
      <c r="G39" s="29">
        <v>45725</v>
      </c>
      <c r="H39" t="s">
        <v>23</v>
      </c>
      <c r="I39" t="s">
        <v>35</v>
      </c>
      <c r="J39">
        <v>4</v>
      </c>
      <c r="K39" t="s">
        <v>19</v>
      </c>
      <c r="L39" t="s">
        <v>115</v>
      </c>
      <c r="M39">
        <v>4</v>
      </c>
      <c r="N39">
        <v>10</v>
      </c>
      <c r="O39" t="s">
        <v>2563</v>
      </c>
    </row>
    <row r="40" spans="1:15">
      <c r="A40" t="s">
        <v>1833</v>
      </c>
      <c r="B40" t="s">
        <v>46</v>
      </c>
      <c r="C40">
        <v>4</v>
      </c>
      <c r="D40">
        <v>47.7</v>
      </c>
      <c r="E40">
        <v>190.8</v>
      </c>
      <c r="F40" s="29">
        <v>45721</v>
      </c>
      <c r="G40" s="29">
        <v>45721</v>
      </c>
      <c r="H40" t="s">
        <v>27</v>
      </c>
      <c r="I40" t="s">
        <v>18</v>
      </c>
      <c r="J40">
        <v>3</v>
      </c>
      <c r="K40" t="s">
        <v>19</v>
      </c>
      <c r="L40" t="s">
        <v>115</v>
      </c>
      <c r="M40">
        <v>0</v>
      </c>
      <c r="N40">
        <v>10</v>
      </c>
      <c r="O40" t="s">
        <v>2562</v>
      </c>
    </row>
    <row r="41" spans="1:15">
      <c r="A41" t="s">
        <v>1832</v>
      </c>
      <c r="B41" t="s">
        <v>16</v>
      </c>
      <c r="C41">
        <v>11</v>
      </c>
      <c r="D41">
        <v>25.8</v>
      </c>
      <c r="E41">
        <v>283.8</v>
      </c>
      <c r="F41" s="29">
        <v>45721</v>
      </c>
      <c r="G41" s="29">
        <v>45725</v>
      </c>
      <c r="H41" t="s">
        <v>27</v>
      </c>
      <c r="I41" t="s">
        <v>51</v>
      </c>
      <c r="J41">
        <v>2</v>
      </c>
      <c r="K41" t="s">
        <v>19</v>
      </c>
      <c r="L41" t="s">
        <v>115</v>
      </c>
      <c r="M41">
        <v>4</v>
      </c>
      <c r="N41">
        <v>10</v>
      </c>
      <c r="O41" t="s">
        <v>2562</v>
      </c>
    </row>
    <row r="42" spans="1:15">
      <c r="A42" t="s">
        <v>1804</v>
      </c>
      <c r="B42" t="s">
        <v>16</v>
      </c>
      <c r="C42">
        <v>3</v>
      </c>
      <c r="D42">
        <v>19.3</v>
      </c>
      <c r="E42">
        <v>57.900000000000006</v>
      </c>
      <c r="F42" s="29">
        <v>45720</v>
      </c>
      <c r="G42" s="29">
        <v>45721</v>
      </c>
      <c r="H42" t="s">
        <v>27</v>
      </c>
      <c r="I42" t="s">
        <v>70</v>
      </c>
      <c r="J42">
        <v>4</v>
      </c>
      <c r="K42" t="s">
        <v>19</v>
      </c>
      <c r="L42" t="s">
        <v>115</v>
      </c>
      <c r="M42">
        <v>1</v>
      </c>
      <c r="N42">
        <v>10</v>
      </c>
      <c r="O42" t="s">
        <v>2562</v>
      </c>
    </row>
    <row r="43" spans="1:15">
      <c r="A43" t="s">
        <v>1777</v>
      </c>
      <c r="B43" t="s">
        <v>54</v>
      </c>
      <c r="C43">
        <v>6</v>
      </c>
      <c r="D43">
        <v>34.9</v>
      </c>
      <c r="E43">
        <v>209.39999999999998</v>
      </c>
      <c r="F43" s="29">
        <v>45720</v>
      </c>
      <c r="G43" s="29">
        <v>45731</v>
      </c>
      <c r="H43" t="s">
        <v>27</v>
      </c>
      <c r="I43" t="s">
        <v>18</v>
      </c>
      <c r="J43">
        <v>4</v>
      </c>
      <c r="K43" t="s">
        <v>19</v>
      </c>
      <c r="L43" t="s">
        <v>115</v>
      </c>
      <c r="M43">
        <v>11</v>
      </c>
      <c r="N43">
        <v>10</v>
      </c>
      <c r="O43" t="s">
        <v>2562</v>
      </c>
    </row>
    <row r="44" spans="1:15">
      <c r="A44" t="s">
        <v>1776</v>
      </c>
      <c r="B44" t="s">
        <v>44</v>
      </c>
      <c r="C44">
        <v>16</v>
      </c>
      <c r="D44">
        <v>27.3</v>
      </c>
      <c r="E44">
        <v>436.8</v>
      </c>
      <c r="F44" s="29">
        <v>45720</v>
      </c>
      <c r="G44" s="29">
        <v>45721</v>
      </c>
      <c r="H44" t="s">
        <v>27</v>
      </c>
      <c r="I44" t="s">
        <v>40</v>
      </c>
      <c r="J44">
        <v>4</v>
      </c>
      <c r="K44" t="s">
        <v>19</v>
      </c>
      <c r="L44" t="s">
        <v>115</v>
      </c>
      <c r="M44">
        <v>1</v>
      </c>
      <c r="N44">
        <v>10</v>
      </c>
      <c r="O44" t="s">
        <v>2562</v>
      </c>
    </row>
    <row r="45" spans="1:15">
      <c r="A45" t="s">
        <v>1775</v>
      </c>
      <c r="B45" t="s">
        <v>39</v>
      </c>
      <c r="C45">
        <v>7</v>
      </c>
      <c r="D45">
        <v>47.3</v>
      </c>
      <c r="E45">
        <v>331.09999999999997</v>
      </c>
      <c r="F45" s="29">
        <v>45720</v>
      </c>
      <c r="G45" s="29">
        <v>45723</v>
      </c>
      <c r="H45" t="s">
        <v>27</v>
      </c>
      <c r="I45" t="s">
        <v>70</v>
      </c>
      <c r="J45">
        <v>3</v>
      </c>
      <c r="K45" t="s">
        <v>19</v>
      </c>
      <c r="L45" t="s">
        <v>115</v>
      </c>
      <c r="M45">
        <v>3</v>
      </c>
      <c r="N45">
        <v>10</v>
      </c>
      <c r="O45" t="s">
        <v>2562</v>
      </c>
    </row>
    <row r="46" spans="1:15">
      <c r="A46" t="s">
        <v>1742</v>
      </c>
      <c r="B46" t="s">
        <v>39</v>
      </c>
      <c r="C46">
        <v>1</v>
      </c>
      <c r="D46">
        <v>42.2</v>
      </c>
      <c r="E46">
        <v>42.2</v>
      </c>
      <c r="F46" s="29">
        <v>45719</v>
      </c>
      <c r="G46" s="29">
        <v>45721</v>
      </c>
      <c r="H46" t="s">
        <v>27</v>
      </c>
      <c r="I46" t="s">
        <v>18</v>
      </c>
      <c r="J46">
        <v>5</v>
      </c>
      <c r="K46" t="s">
        <v>19</v>
      </c>
      <c r="L46" t="s">
        <v>115</v>
      </c>
      <c r="M46">
        <v>2</v>
      </c>
      <c r="N46">
        <v>10</v>
      </c>
      <c r="O46" t="s">
        <v>2562</v>
      </c>
    </row>
    <row r="47" spans="1:15">
      <c r="A47" t="s">
        <v>1741</v>
      </c>
      <c r="B47" t="s">
        <v>123</v>
      </c>
      <c r="C47">
        <v>2</v>
      </c>
      <c r="D47">
        <v>32.299999999999997</v>
      </c>
      <c r="E47">
        <v>64.599999999999994</v>
      </c>
      <c r="F47" s="29">
        <v>45718</v>
      </c>
      <c r="G47" s="29">
        <v>45719</v>
      </c>
      <c r="H47" t="s">
        <v>23</v>
      </c>
      <c r="I47" t="s">
        <v>18</v>
      </c>
      <c r="J47">
        <v>5</v>
      </c>
      <c r="K47" t="s">
        <v>19</v>
      </c>
      <c r="L47" t="s">
        <v>115</v>
      </c>
      <c r="M47">
        <v>1</v>
      </c>
      <c r="N47">
        <v>10</v>
      </c>
      <c r="O47" t="s">
        <v>2563</v>
      </c>
    </row>
    <row r="48" spans="1:15">
      <c r="A48" t="s">
        <v>1740</v>
      </c>
      <c r="B48" t="s">
        <v>37</v>
      </c>
      <c r="C48">
        <v>7</v>
      </c>
      <c r="D48">
        <v>29.4</v>
      </c>
      <c r="E48">
        <v>205.79999999999998</v>
      </c>
      <c r="F48" s="29">
        <v>45718</v>
      </c>
      <c r="G48" s="29">
        <v>45718</v>
      </c>
      <c r="H48" t="s">
        <v>23</v>
      </c>
      <c r="I48" t="s">
        <v>51</v>
      </c>
      <c r="J48">
        <v>5</v>
      </c>
      <c r="K48" t="s">
        <v>19</v>
      </c>
      <c r="L48" t="s">
        <v>115</v>
      </c>
      <c r="M48">
        <v>0</v>
      </c>
      <c r="N48">
        <v>10</v>
      </c>
      <c r="O48" t="s">
        <v>2563</v>
      </c>
    </row>
    <row r="49" spans="1:15">
      <c r="A49" t="s">
        <v>1739</v>
      </c>
      <c r="B49" t="s">
        <v>123</v>
      </c>
      <c r="C49">
        <v>7</v>
      </c>
      <c r="D49">
        <v>21</v>
      </c>
      <c r="E49">
        <v>147</v>
      </c>
      <c r="F49" s="29">
        <v>45718</v>
      </c>
      <c r="G49" s="29">
        <v>45721</v>
      </c>
      <c r="H49" t="s">
        <v>23</v>
      </c>
      <c r="I49" t="s">
        <v>40</v>
      </c>
      <c r="J49">
        <v>3</v>
      </c>
      <c r="K49" t="s">
        <v>19</v>
      </c>
      <c r="L49" t="s">
        <v>115</v>
      </c>
      <c r="M49">
        <v>3</v>
      </c>
      <c r="N49">
        <v>10</v>
      </c>
      <c r="O49" t="s">
        <v>2563</v>
      </c>
    </row>
    <row r="50" spans="1:15">
      <c r="A50" t="s">
        <v>1708</v>
      </c>
      <c r="B50" t="s">
        <v>128</v>
      </c>
      <c r="C50">
        <v>3</v>
      </c>
      <c r="D50">
        <v>54.1</v>
      </c>
      <c r="E50">
        <v>162.30000000000001</v>
      </c>
      <c r="F50" s="29">
        <v>45717</v>
      </c>
      <c r="G50" s="29">
        <v>45719</v>
      </c>
      <c r="H50" t="s">
        <v>27</v>
      </c>
      <c r="I50" t="s">
        <v>70</v>
      </c>
      <c r="J50">
        <v>4</v>
      </c>
      <c r="K50" t="s">
        <v>19</v>
      </c>
      <c r="L50" t="s">
        <v>115</v>
      </c>
      <c r="M50">
        <v>2</v>
      </c>
      <c r="N50">
        <v>9</v>
      </c>
      <c r="O50" t="s">
        <v>2562</v>
      </c>
    </row>
    <row r="51" spans="1:15">
      <c r="A51" t="s">
        <v>1707</v>
      </c>
      <c r="B51" t="s">
        <v>46</v>
      </c>
      <c r="C51">
        <v>3</v>
      </c>
      <c r="D51">
        <v>41</v>
      </c>
      <c r="E51">
        <v>123</v>
      </c>
      <c r="F51" s="29">
        <v>45717</v>
      </c>
      <c r="G51" s="29">
        <v>45718</v>
      </c>
      <c r="H51" t="s">
        <v>27</v>
      </c>
      <c r="I51" t="s">
        <v>51</v>
      </c>
      <c r="J51">
        <v>2</v>
      </c>
      <c r="K51" t="s">
        <v>19</v>
      </c>
      <c r="L51" t="s">
        <v>115</v>
      </c>
      <c r="M51">
        <v>1</v>
      </c>
      <c r="N51">
        <v>9</v>
      </c>
      <c r="O51" t="s">
        <v>2562</v>
      </c>
    </row>
    <row r="52" spans="1:15">
      <c r="A52" t="s">
        <v>1635</v>
      </c>
      <c r="B52" t="s">
        <v>39</v>
      </c>
      <c r="C52">
        <v>4</v>
      </c>
      <c r="D52">
        <v>41.9</v>
      </c>
      <c r="E52">
        <v>167.6</v>
      </c>
      <c r="F52" s="29">
        <v>45714</v>
      </c>
      <c r="G52" s="29">
        <v>45718</v>
      </c>
      <c r="H52" t="s">
        <v>27</v>
      </c>
      <c r="I52" t="s">
        <v>18</v>
      </c>
      <c r="J52">
        <v>3</v>
      </c>
      <c r="K52" t="s">
        <v>19</v>
      </c>
      <c r="L52" t="s">
        <v>115</v>
      </c>
      <c r="M52">
        <v>4</v>
      </c>
      <c r="N52">
        <v>9</v>
      </c>
      <c r="O52" t="s">
        <v>2562</v>
      </c>
    </row>
    <row r="53" spans="1:15">
      <c r="A53" t="s">
        <v>1606</v>
      </c>
      <c r="B53" t="s">
        <v>171</v>
      </c>
      <c r="C53">
        <v>2</v>
      </c>
      <c r="D53">
        <v>17</v>
      </c>
      <c r="E53">
        <v>34</v>
      </c>
      <c r="F53" s="29">
        <v>45713</v>
      </c>
      <c r="G53" s="29">
        <v>45714</v>
      </c>
      <c r="H53" t="s">
        <v>23</v>
      </c>
      <c r="I53" t="s">
        <v>51</v>
      </c>
      <c r="J53">
        <v>4</v>
      </c>
      <c r="K53" t="s">
        <v>19</v>
      </c>
      <c r="L53" t="s">
        <v>115</v>
      </c>
      <c r="M53">
        <v>1</v>
      </c>
      <c r="N53">
        <v>9</v>
      </c>
      <c r="O53" t="s">
        <v>2563</v>
      </c>
    </row>
    <row r="54" spans="1:15">
      <c r="A54" t="s">
        <v>1605</v>
      </c>
      <c r="B54" t="s">
        <v>69</v>
      </c>
      <c r="C54">
        <v>2</v>
      </c>
      <c r="D54">
        <v>53.8</v>
      </c>
      <c r="E54">
        <v>107.6</v>
      </c>
      <c r="F54" s="29">
        <v>45713</v>
      </c>
      <c r="G54" s="29">
        <v>45718</v>
      </c>
      <c r="H54" t="s">
        <v>27</v>
      </c>
      <c r="I54" t="s">
        <v>18</v>
      </c>
      <c r="J54">
        <v>5</v>
      </c>
      <c r="K54" t="s">
        <v>19</v>
      </c>
      <c r="L54" t="s">
        <v>115</v>
      </c>
      <c r="M54">
        <v>5</v>
      </c>
      <c r="N54">
        <v>9</v>
      </c>
      <c r="O54" t="s">
        <v>2562</v>
      </c>
    </row>
    <row r="55" spans="1:15">
      <c r="A55" t="s">
        <v>114</v>
      </c>
      <c r="B55" t="s">
        <v>16</v>
      </c>
      <c r="C55">
        <v>2</v>
      </c>
      <c r="D55">
        <v>18</v>
      </c>
      <c r="E55">
        <v>36</v>
      </c>
      <c r="F55" s="29">
        <v>45659</v>
      </c>
      <c r="G55" s="29">
        <v>45660</v>
      </c>
      <c r="H55" t="s">
        <v>27</v>
      </c>
      <c r="I55" t="s">
        <v>18</v>
      </c>
      <c r="J55">
        <v>5</v>
      </c>
      <c r="K55" t="s">
        <v>19</v>
      </c>
      <c r="L55" t="s">
        <v>115</v>
      </c>
      <c r="M55">
        <v>1</v>
      </c>
      <c r="N55">
        <v>1</v>
      </c>
      <c r="O55" t="s">
        <v>2562</v>
      </c>
    </row>
    <row r="56" spans="1:15">
      <c r="A56" t="s">
        <v>1578</v>
      </c>
      <c r="B56" t="s">
        <v>46</v>
      </c>
      <c r="C56">
        <v>1</v>
      </c>
      <c r="D56">
        <v>33.5</v>
      </c>
      <c r="E56">
        <v>33.5</v>
      </c>
      <c r="F56" s="29">
        <v>45713</v>
      </c>
      <c r="G56" s="29">
        <v>45717</v>
      </c>
      <c r="H56" t="s">
        <v>23</v>
      </c>
      <c r="I56" t="s">
        <v>70</v>
      </c>
      <c r="J56">
        <v>3</v>
      </c>
      <c r="K56" t="s">
        <v>19</v>
      </c>
      <c r="L56" t="s">
        <v>115</v>
      </c>
      <c r="M56">
        <v>4</v>
      </c>
      <c r="N56">
        <v>9</v>
      </c>
      <c r="O56" t="s">
        <v>2563</v>
      </c>
    </row>
    <row r="57" spans="1:15">
      <c r="A57" t="s">
        <v>1548</v>
      </c>
      <c r="B57" t="s">
        <v>39</v>
      </c>
      <c r="C57">
        <v>5</v>
      </c>
      <c r="D57">
        <v>61</v>
      </c>
      <c r="E57">
        <v>305</v>
      </c>
      <c r="F57" s="29">
        <v>45711</v>
      </c>
      <c r="G57" s="29">
        <v>45712</v>
      </c>
      <c r="H57" t="s">
        <v>17</v>
      </c>
      <c r="I57" t="s">
        <v>18</v>
      </c>
      <c r="J57">
        <v>5</v>
      </c>
      <c r="K57" t="s">
        <v>19</v>
      </c>
      <c r="L57" t="s">
        <v>115</v>
      </c>
      <c r="M57">
        <v>1</v>
      </c>
      <c r="N57">
        <v>9</v>
      </c>
      <c r="O57" t="s">
        <v>2565</v>
      </c>
    </row>
    <row r="58" spans="1:15">
      <c r="A58" t="s">
        <v>1529</v>
      </c>
      <c r="B58" t="s">
        <v>39</v>
      </c>
      <c r="C58">
        <v>2</v>
      </c>
      <c r="D58">
        <v>92.1</v>
      </c>
      <c r="E58">
        <v>184.2</v>
      </c>
      <c r="F58" s="29">
        <v>45711</v>
      </c>
      <c r="G58" s="29">
        <v>45713</v>
      </c>
      <c r="H58" t="s">
        <v>23</v>
      </c>
      <c r="I58" t="s">
        <v>35</v>
      </c>
      <c r="J58">
        <v>4</v>
      </c>
      <c r="K58" t="s">
        <v>19</v>
      </c>
      <c r="L58" t="s">
        <v>115</v>
      </c>
      <c r="M58">
        <v>2</v>
      </c>
      <c r="N58">
        <v>9</v>
      </c>
      <c r="O58" t="s">
        <v>2563</v>
      </c>
    </row>
    <row r="59" spans="1:15">
      <c r="A59" t="s">
        <v>1528</v>
      </c>
      <c r="B59" t="s">
        <v>46</v>
      </c>
      <c r="C59">
        <v>1</v>
      </c>
      <c r="D59">
        <v>85.7</v>
      </c>
      <c r="E59">
        <v>85.7</v>
      </c>
      <c r="F59" s="29">
        <v>45711</v>
      </c>
      <c r="G59" s="29">
        <v>45714</v>
      </c>
      <c r="H59" t="s">
        <v>23</v>
      </c>
      <c r="I59" t="s">
        <v>51</v>
      </c>
      <c r="J59">
        <v>3</v>
      </c>
      <c r="K59" t="s">
        <v>19</v>
      </c>
      <c r="L59" t="s">
        <v>115</v>
      </c>
      <c r="M59">
        <v>3</v>
      </c>
      <c r="N59">
        <v>9</v>
      </c>
      <c r="O59" t="s">
        <v>2563</v>
      </c>
    </row>
    <row r="60" spans="1:15">
      <c r="A60" t="s">
        <v>1490</v>
      </c>
      <c r="B60" t="s">
        <v>42</v>
      </c>
      <c r="C60">
        <v>2</v>
      </c>
      <c r="D60">
        <v>76.7</v>
      </c>
      <c r="E60">
        <v>153.4</v>
      </c>
      <c r="F60" s="29">
        <v>45710</v>
      </c>
      <c r="G60" s="29">
        <v>45712</v>
      </c>
      <c r="H60" t="s">
        <v>23</v>
      </c>
      <c r="I60" t="s">
        <v>18</v>
      </c>
      <c r="J60">
        <v>3</v>
      </c>
      <c r="K60" t="s">
        <v>19</v>
      </c>
      <c r="L60" t="s">
        <v>115</v>
      </c>
      <c r="M60">
        <v>2</v>
      </c>
      <c r="N60">
        <v>8</v>
      </c>
      <c r="O60" t="s">
        <v>2563</v>
      </c>
    </row>
    <row r="61" spans="1:15">
      <c r="A61" t="s">
        <v>1489</v>
      </c>
      <c r="B61" t="s">
        <v>30</v>
      </c>
      <c r="C61">
        <v>5</v>
      </c>
      <c r="D61">
        <v>55.7</v>
      </c>
      <c r="E61">
        <v>278.5</v>
      </c>
      <c r="F61" s="29">
        <v>45710</v>
      </c>
      <c r="G61" s="29">
        <v>45712</v>
      </c>
      <c r="H61" t="s">
        <v>17</v>
      </c>
      <c r="I61" t="s">
        <v>35</v>
      </c>
      <c r="J61">
        <v>5</v>
      </c>
      <c r="K61" t="s">
        <v>19</v>
      </c>
      <c r="L61" t="s">
        <v>115</v>
      </c>
      <c r="M61">
        <v>2</v>
      </c>
      <c r="N61">
        <v>8</v>
      </c>
      <c r="O61" t="s">
        <v>2565</v>
      </c>
    </row>
    <row r="62" spans="1:15">
      <c r="A62" t="s">
        <v>1461</v>
      </c>
      <c r="B62" t="s">
        <v>39</v>
      </c>
      <c r="C62">
        <v>3</v>
      </c>
      <c r="D62">
        <v>95.9</v>
      </c>
      <c r="E62">
        <v>287.70000000000005</v>
      </c>
      <c r="F62" s="29">
        <v>45709</v>
      </c>
      <c r="G62" s="29">
        <v>45710</v>
      </c>
      <c r="H62" t="s">
        <v>27</v>
      </c>
      <c r="I62" t="s">
        <v>35</v>
      </c>
      <c r="J62">
        <v>3</v>
      </c>
      <c r="K62" t="s">
        <v>19</v>
      </c>
      <c r="L62" t="s">
        <v>115</v>
      </c>
      <c r="M62">
        <v>1</v>
      </c>
      <c r="N62">
        <v>8</v>
      </c>
      <c r="O62" t="s">
        <v>2562</v>
      </c>
    </row>
    <row r="63" spans="1:15">
      <c r="A63" t="s">
        <v>1460</v>
      </c>
      <c r="B63" t="s">
        <v>39</v>
      </c>
      <c r="C63">
        <v>2</v>
      </c>
      <c r="D63">
        <v>127.6</v>
      </c>
      <c r="E63">
        <v>255.2</v>
      </c>
      <c r="F63" s="29">
        <v>45709</v>
      </c>
      <c r="G63" s="29">
        <v>45710</v>
      </c>
      <c r="H63" t="s">
        <v>23</v>
      </c>
      <c r="I63" t="s">
        <v>18</v>
      </c>
      <c r="J63">
        <v>4</v>
      </c>
      <c r="K63" t="s">
        <v>19</v>
      </c>
      <c r="L63" t="s">
        <v>115</v>
      </c>
      <c r="M63">
        <v>1</v>
      </c>
      <c r="N63">
        <v>8</v>
      </c>
      <c r="O63" t="s">
        <v>2563</v>
      </c>
    </row>
    <row r="64" spans="1:15">
      <c r="A64" t="s">
        <v>1419</v>
      </c>
      <c r="B64" t="s">
        <v>44</v>
      </c>
      <c r="C64">
        <v>2</v>
      </c>
      <c r="D64">
        <v>32.299999999999997</v>
      </c>
      <c r="E64">
        <v>64.599999999999994</v>
      </c>
      <c r="F64" s="29">
        <v>45708</v>
      </c>
      <c r="G64" s="29">
        <v>45709</v>
      </c>
      <c r="H64" t="s">
        <v>23</v>
      </c>
      <c r="I64" t="s">
        <v>18</v>
      </c>
      <c r="J64">
        <v>5</v>
      </c>
      <c r="K64" t="s">
        <v>19</v>
      </c>
      <c r="L64" t="s">
        <v>115</v>
      </c>
      <c r="M64">
        <v>1</v>
      </c>
      <c r="N64">
        <v>8</v>
      </c>
      <c r="O64" t="s">
        <v>2563</v>
      </c>
    </row>
    <row r="65" spans="1:15">
      <c r="A65" t="s">
        <v>1418</v>
      </c>
      <c r="B65" t="s">
        <v>44</v>
      </c>
      <c r="C65">
        <v>2</v>
      </c>
      <c r="D65">
        <v>59</v>
      </c>
      <c r="E65">
        <v>118</v>
      </c>
      <c r="F65" s="29">
        <v>45708</v>
      </c>
      <c r="G65" s="29">
        <v>45709</v>
      </c>
      <c r="H65" t="s">
        <v>23</v>
      </c>
      <c r="I65" t="s">
        <v>35</v>
      </c>
      <c r="J65">
        <v>4</v>
      </c>
      <c r="K65" t="s">
        <v>19</v>
      </c>
      <c r="L65" t="s">
        <v>115</v>
      </c>
      <c r="M65">
        <v>1</v>
      </c>
      <c r="N65">
        <v>8</v>
      </c>
      <c r="O65" t="s">
        <v>2563</v>
      </c>
    </row>
    <row r="66" spans="1:15">
      <c r="A66" t="s">
        <v>1381</v>
      </c>
      <c r="B66" t="s">
        <v>39</v>
      </c>
      <c r="C66">
        <v>10</v>
      </c>
      <c r="D66">
        <v>97.8</v>
      </c>
      <c r="E66">
        <v>978</v>
      </c>
      <c r="F66" s="29">
        <v>45706</v>
      </c>
      <c r="G66" s="29">
        <v>45706</v>
      </c>
      <c r="H66" t="s">
        <v>23</v>
      </c>
      <c r="I66" t="s">
        <v>35</v>
      </c>
      <c r="J66">
        <v>3</v>
      </c>
      <c r="K66" t="s">
        <v>19</v>
      </c>
      <c r="L66" t="s">
        <v>115</v>
      </c>
      <c r="M66">
        <v>0</v>
      </c>
      <c r="N66">
        <v>8</v>
      </c>
      <c r="O66" t="s">
        <v>2563</v>
      </c>
    </row>
    <row r="67" spans="1:15">
      <c r="A67" t="s">
        <v>1380</v>
      </c>
      <c r="B67" t="s">
        <v>22</v>
      </c>
      <c r="C67">
        <v>5</v>
      </c>
      <c r="D67">
        <v>81.7</v>
      </c>
      <c r="E67">
        <v>408.5</v>
      </c>
      <c r="F67" s="29">
        <v>45706</v>
      </c>
      <c r="G67" s="29">
        <v>45707</v>
      </c>
      <c r="H67" t="s">
        <v>27</v>
      </c>
      <c r="I67" t="s">
        <v>18</v>
      </c>
      <c r="J67">
        <v>5</v>
      </c>
      <c r="K67" t="s">
        <v>19</v>
      </c>
      <c r="L67" t="s">
        <v>115</v>
      </c>
      <c r="M67">
        <v>1</v>
      </c>
      <c r="N67">
        <v>8</v>
      </c>
      <c r="O67" t="s">
        <v>2562</v>
      </c>
    </row>
    <row r="68" spans="1:15">
      <c r="A68" t="s">
        <v>1340</v>
      </c>
      <c r="B68" t="s">
        <v>26</v>
      </c>
      <c r="C68">
        <v>2</v>
      </c>
      <c r="D68">
        <v>163</v>
      </c>
      <c r="E68">
        <v>326</v>
      </c>
      <c r="F68" s="29">
        <v>45706</v>
      </c>
      <c r="G68" s="29">
        <v>45712</v>
      </c>
      <c r="H68" t="s">
        <v>27</v>
      </c>
      <c r="I68" t="s">
        <v>70</v>
      </c>
      <c r="J68">
        <v>4</v>
      </c>
      <c r="K68" t="s">
        <v>19</v>
      </c>
      <c r="L68" t="s">
        <v>115</v>
      </c>
      <c r="M68">
        <v>6</v>
      </c>
      <c r="N68">
        <v>8</v>
      </c>
      <c r="O68" t="s">
        <v>2562</v>
      </c>
    </row>
    <row r="69" spans="1:15">
      <c r="A69" t="s">
        <v>1302</v>
      </c>
      <c r="B69" t="s">
        <v>26</v>
      </c>
      <c r="C69">
        <v>1</v>
      </c>
      <c r="D69">
        <v>62.7</v>
      </c>
      <c r="E69">
        <v>62.7</v>
      </c>
      <c r="F69" s="29">
        <v>45705</v>
      </c>
      <c r="G69" s="29">
        <v>45709</v>
      </c>
      <c r="H69" t="s">
        <v>23</v>
      </c>
      <c r="I69" t="s">
        <v>35</v>
      </c>
      <c r="J69">
        <v>4</v>
      </c>
      <c r="K69" t="s">
        <v>19</v>
      </c>
      <c r="L69" t="s">
        <v>115</v>
      </c>
      <c r="M69">
        <v>4</v>
      </c>
      <c r="N69">
        <v>8</v>
      </c>
      <c r="O69" t="s">
        <v>2563</v>
      </c>
    </row>
    <row r="70" spans="1:15">
      <c r="A70" t="s">
        <v>1277</v>
      </c>
      <c r="B70" t="s">
        <v>26</v>
      </c>
      <c r="C70">
        <v>5</v>
      </c>
      <c r="D70">
        <v>94.1</v>
      </c>
      <c r="E70">
        <v>470.5</v>
      </c>
      <c r="F70" s="29">
        <v>45704</v>
      </c>
      <c r="G70" s="29">
        <v>45707</v>
      </c>
      <c r="H70" t="s">
        <v>17</v>
      </c>
      <c r="I70" t="s">
        <v>35</v>
      </c>
      <c r="J70">
        <v>3</v>
      </c>
      <c r="K70" t="s">
        <v>19</v>
      </c>
      <c r="L70" t="s">
        <v>115</v>
      </c>
      <c r="M70">
        <v>3</v>
      </c>
      <c r="N70">
        <v>8</v>
      </c>
      <c r="O70" t="s">
        <v>2565</v>
      </c>
    </row>
    <row r="71" spans="1:15">
      <c r="A71" t="s">
        <v>1276</v>
      </c>
      <c r="B71" t="s">
        <v>39</v>
      </c>
      <c r="C71">
        <v>6</v>
      </c>
      <c r="D71">
        <v>91.1</v>
      </c>
      <c r="E71">
        <v>546.59999999999991</v>
      </c>
      <c r="F71" s="29">
        <v>45704</v>
      </c>
      <c r="G71" s="29">
        <v>45713</v>
      </c>
      <c r="H71" t="s">
        <v>27</v>
      </c>
      <c r="I71" t="s">
        <v>70</v>
      </c>
      <c r="J71">
        <v>4</v>
      </c>
      <c r="K71" t="s">
        <v>19</v>
      </c>
      <c r="L71" t="s">
        <v>115</v>
      </c>
      <c r="M71">
        <v>9</v>
      </c>
      <c r="N71">
        <v>8</v>
      </c>
      <c r="O71" t="s">
        <v>2562</v>
      </c>
    </row>
    <row r="72" spans="1:15">
      <c r="A72" t="s">
        <v>1275</v>
      </c>
      <c r="B72" t="s">
        <v>44</v>
      </c>
      <c r="C72">
        <v>4</v>
      </c>
      <c r="D72">
        <v>19</v>
      </c>
      <c r="E72">
        <v>76</v>
      </c>
      <c r="F72" s="29">
        <v>45704</v>
      </c>
      <c r="G72" s="29">
        <v>45711</v>
      </c>
      <c r="H72" t="s">
        <v>27</v>
      </c>
      <c r="I72" t="s">
        <v>40</v>
      </c>
      <c r="J72">
        <v>5</v>
      </c>
      <c r="K72" t="s">
        <v>19</v>
      </c>
      <c r="L72" t="s">
        <v>115</v>
      </c>
      <c r="M72">
        <v>7</v>
      </c>
      <c r="N72">
        <v>8</v>
      </c>
      <c r="O72" t="s">
        <v>2562</v>
      </c>
    </row>
    <row r="73" spans="1:15">
      <c r="A73" t="s">
        <v>1260</v>
      </c>
      <c r="B73" t="s">
        <v>69</v>
      </c>
      <c r="C73">
        <v>5</v>
      </c>
      <c r="D73">
        <v>47.7</v>
      </c>
      <c r="E73">
        <v>238.5</v>
      </c>
      <c r="F73" s="29">
        <v>45703</v>
      </c>
      <c r="G73" s="29">
        <v>45704</v>
      </c>
      <c r="H73" t="s">
        <v>23</v>
      </c>
      <c r="I73" t="s">
        <v>51</v>
      </c>
      <c r="J73">
        <v>5</v>
      </c>
      <c r="K73" t="s">
        <v>19</v>
      </c>
      <c r="L73" t="s">
        <v>115</v>
      </c>
      <c r="M73">
        <v>1</v>
      </c>
      <c r="N73">
        <v>7</v>
      </c>
      <c r="O73" t="s">
        <v>2563</v>
      </c>
    </row>
    <row r="74" spans="1:15">
      <c r="A74" t="s">
        <v>1235</v>
      </c>
      <c r="B74" t="s">
        <v>16</v>
      </c>
      <c r="C74">
        <v>1</v>
      </c>
      <c r="D74">
        <v>21.9</v>
      </c>
      <c r="E74">
        <v>21.9</v>
      </c>
      <c r="F74" s="29">
        <v>45702</v>
      </c>
      <c r="G74" s="29">
        <v>45705</v>
      </c>
      <c r="H74" t="s">
        <v>27</v>
      </c>
      <c r="I74" t="s">
        <v>40</v>
      </c>
      <c r="J74">
        <v>4</v>
      </c>
      <c r="K74" t="s">
        <v>19</v>
      </c>
      <c r="L74" t="s">
        <v>115</v>
      </c>
      <c r="M74">
        <v>3</v>
      </c>
      <c r="N74">
        <v>7</v>
      </c>
      <c r="O74" t="s">
        <v>2562</v>
      </c>
    </row>
    <row r="75" spans="1:15">
      <c r="A75" t="s">
        <v>1209</v>
      </c>
      <c r="B75" t="s">
        <v>16</v>
      </c>
      <c r="C75">
        <v>9</v>
      </c>
      <c r="D75">
        <v>29.3</v>
      </c>
      <c r="E75">
        <v>263.7</v>
      </c>
      <c r="F75" s="29">
        <v>45701</v>
      </c>
      <c r="G75" s="29">
        <v>45703</v>
      </c>
      <c r="H75" t="s">
        <v>23</v>
      </c>
      <c r="I75" t="s">
        <v>70</v>
      </c>
      <c r="J75">
        <v>5</v>
      </c>
      <c r="K75" t="s">
        <v>19</v>
      </c>
      <c r="L75" t="s">
        <v>115</v>
      </c>
      <c r="M75">
        <v>2</v>
      </c>
      <c r="N75">
        <v>7</v>
      </c>
      <c r="O75" t="s">
        <v>2563</v>
      </c>
    </row>
    <row r="76" spans="1:15">
      <c r="A76" t="s">
        <v>1208</v>
      </c>
      <c r="B76" t="s">
        <v>39</v>
      </c>
      <c r="C76">
        <v>5</v>
      </c>
      <c r="D76">
        <v>108.8</v>
      </c>
      <c r="E76">
        <v>544</v>
      </c>
      <c r="F76" s="29">
        <v>45701</v>
      </c>
      <c r="G76" s="29">
        <v>45704</v>
      </c>
      <c r="H76" t="s">
        <v>27</v>
      </c>
      <c r="I76" t="s">
        <v>70</v>
      </c>
      <c r="J76">
        <v>5</v>
      </c>
      <c r="K76" t="s">
        <v>19</v>
      </c>
      <c r="L76" t="s">
        <v>115</v>
      </c>
      <c r="M76">
        <v>3</v>
      </c>
      <c r="N76">
        <v>7</v>
      </c>
      <c r="O76" t="s">
        <v>2562</v>
      </c>
    </row>
    <row r="77" spans="1:15">
      <c r="A77" t="s">
        <v>1207</v>
      </c>
      <c r="B77" t="s">
        <v>67</v>
      </c>
      <c r="C77">
        <v>6</v>
      </c>
      <c r="D77">
        <v>43</v>
      </c>
      <c r="E77">
        <v>258</v>
      </c>
      <c r="F77" s="29">
        <v>45701</v>
      </c>
      <c r="G77" s="29">
        <v>45702</v>
      </c>
      <c r="H77" t="s">
        <v>27</v>
      </c>
      <c r="I77" t="s">
        <v>40</v>
      </c>
      <c r="J77">
        <v>4</v>
      </c>
      <c r="K77" t="s">
        <v>19</v>
      </c>
      <c r="L77" t="s">
        <v>115</v>
      </c>
      <c r="M77">
        <v>1</v>
      </c>
      <c r="N77">
        <v>7</v>
      </c>
      <c r="O77" t="s">
        <v>2562</v>
      </c>
    </row>
    <row r="78" spans="1:15">
      <c r="A78" t="s">
        <v>1206</v>
      </c>
      <c r="B78" t="s">
        <v>123</v>
      </c>
      <c r="C78">
        <v>2</v>
      </c>
      <c r="D78">
        <v>33.6</v>
      </c>
      <c r="E78">
        <v>67.2</v>
      </c>
      <c r="F78" s="29">
        <v>45701</v>
      </c>
      <c r="G78" s="29">
        <v>45706</v>
      </c>
      <c r="H78" t="s">
        <v>27</v>
      </c>
      <c r="I78" t="s">
        <v>18</v>
      </c>
      <c r="J78">
        <v>4</v>
      </c>
      <c r="K78" t="s">
        <v>19</v>
      </c>
      <c r="L78" t="s">
        <v>115</v>
      </c>
      <c r="M78">
        <v>5</v>
      </c>
      <c r="N78">
        <v>7</v>
      </c>
      <c r="O78" t="s">
        <v>2562</v>
      </c>
    </row>
    <row r="79" spans="1:15">
      <c r="A79" t="s">
        <v>1184</v>
      </c>
      <c r="B79" t="s">
        <v>42</v>
      </c>
      <c r="C79">
        <v>10</v>
      </c>
      <c r="D79">
        <v>58.9</v>
      </c>
      <c r="E79">
        <v>589</v>
      </c>
      <c r="F79" s="29">
        <v>45700</v>
      </c>
      <c r="G79" s="29">
        <v>45702</v>
      </c>
      <c r="H79" t="s">
        <v>27</v>
      </c>
      <c r="I79" t="s">
        <v>35</v>
      </c>
      <c r="J79">
        <v>2</v>
      </c>
      <c r="K79" t="s">
        <v>19</v>
      </c>
      <c r="L79" t="s">
        <v>115</v>
      </c>
      <c r="M79">
        <v>2</v>
      </c>
      <c r="N79">
        <v>7</v>
      </c>
      <c r="O79" t="s">
        <v>2562</v>
      </c>
    </row>
    <row r="80" spans="1:15">
      <c r="A80" t="s">
        <v>1183</v>
      </c>
      <c r="B80" t="s">
        <v>128</v>
      </c>
      <c r="C80">
        <v>12</v>
      </c>
      <c r="D80">
        <v>39.700000000000003</v>
      </c>
      <c r="E80">
        <v>476.40000000000003</v>
      </c>
      <c r="F80" s="29">
        <v>45700</v>
      </c>
      <c r="G80" s="29">
        <v>45701</v>
      </c>
      <c r="H80" t="s">
        <v>27</v>
      </c>
      <c r="I80" t="s">
        <v>18</v>
      </c>
      <c r="J80">
        <v>4</v>
      </c>
      <c r="K80" t="s">
        <v>19</v>
      </c>
      <c r="L80" t="s">
        <v>115</v>
      </c>
      <c r="M80">
        <v>1</v>
      </c>
      <c r="N80">
        <v>7</v>
      </c>
      <c r="O80" t="s">
        <v>2562</v>
      </c>
    </row>
    <row r="81" spans="1:15">
      <c r="A81" t="s">
        <v>144</v>
      </c>
      <c r="B81" t="s">
        <v>69</v>
      </c>
      <c r="C81">
        <v>3</v>
      </c>
      <c r="D81">
        <v>78.8</v>
      </c>
      <c r="E81">
        <v>236.39999999999998</v>
      </c>
      <c r="F81" s="29">
        <v>45660</v>
      </c>
      <c r="G81" s="29">
        <v>45666</v>
      </c>
      <c r="H81" t="s">
        <v>27</v>
      </c>
      <c r="I81" t="s">
        <v>70</v>
      </c>
      <c r="J81">
        <v>3</v>
      </c>
      <c r="K81" t="s">
        <v>19</v>
      </c>
      <c r="L81" t="s">
        <v>115</v>
      </c>
      <c r="M81">
        <v>6</v>
      </c>
      <c r="N81">
        <v>1</v>
      </c>
      <c r="O81" t="s">
        <v>2562</v>
      </c>
    </row>
    <row r="82" spans="1:15">
      <c r="A82" t="s">
        <v>1154</v>
      </c>
      <c r="B82" t="s">
        <v>44</v>
      </c>
      <c r="C82">
        <v>1</v>
      </c>
      <c r="D82">
        <v>36.6</v>
      </c>
      <c r="E82">
        <v>36.6</v>
      </c>
      <c r="F82" s="29">
        <v>45699</v>
      </c>
      <c r="G82" s="29">
        <v>45701</v>
      </c>
      <c r="H82" t="s">
        <v>23</v>
      </c>
      <c r="I82" t="s">
        <v>40</v>
      </c>
      <c r="J82">
        <v>5</v>
      </c>
      <c r="K82" t="s">
        <v>19</v>
      </c>
      <c r="L82" t="s">
        <v>115</v>
      </c>
      <c r="M82">
        <v>2</v>
      </c>
      <c r="N82">
        <v>7</v>
      </c>
      <c r="O82" t="s">
        <v>2563</v>
      </c>
    </row>
    <row r="83" spans="1:15">
      <c r="A83" t="s">
        <v>1153</v>
      </c>
      <c r="B83" t="s">
        <v>69</v>
      </c>
      <c r="C83">
        <v>3</v>
      </c>
      <c r="D83">
        <v>92.2</v>
      </c>
      <c r="E83">
        <v>276.60000000000002</v>
      </c>
      <c r="F83" s="29">
        <v>45699</v>
      </c>
      <c r="G83" s="29">
        <v>45703</v>
      </c>
      <c r="H83" t="s">
        <v>23</v>
      </c>
      <c r="I83" t="s">
        <v>18</v>
      </c>
      <c r="J83">
        <v>4</v>
      </c>
      <c r="K83" t="s">
        <v>19</v>
      </c>
      <c r="L83" t="s">
        <v>115</v>
      </c>
      <c r="M83">
        <v>4</v>
      </c>
      <c r="N83">
        <v>7</v>
      </c>
      <c r="O83" t="s">
        <v>2563</v>
      </c>
    </row>
    <row r="84" spans="1:15">
      <c r="A84" t="s">
        <v>1121</v>
      </c>
      <c r="B84" t="s">
        <v>39</v>
      </c>
      <c r="C84">
        <v>7</v>
      </c>
      <c r="D84">
        <v>50.2</v>
      </c>
      <c r="E84">
        <v>351.40000000000003</v>
      </c>
      <c r="F84" s="29">
        <v>45698</v>
      </c>
      <c r="G84" s="29">
        <v>45700</v>
      </c>
      <c r="H84" t="s">
        <v>23</v>
      </c>
      <c r="I84" t="s">
        <v>40</v>
      </c>
      <c r="J84">
        <v>4</v>
      </c>
      <c r="K84" t="s">
        <v>19</v>
      </c>
      <c r="L84" t="s">
        <v>115</v>
      </c>
      <c r="M84">
        <v>2</v>
      </c>
      <c r="N84">
        <v>7</v>
      </c>
      <c r="O84" t="s">
        <v>2563</v>
      </c>
    </row>
    <row r="85" spans="1:15">
      <c r="A85" t="s">
        <v>1120</v>
      </c>
      <c r="B85" t="s">
        <v>44</v>
      </c>
      <c r="C85">
        <v>1</v>
      </c>
      <c r="D85">
        <v>28</v>
      </c>
      <c r="E85">
        <v>28</v>
      </c>
      <c r="F85" s="29">
        <v>45698</v>
      </c>
      <c r="G85" s="29">
        <v>45700</v>
      </c>
      <c r="H85" t="s">
        <v>23</v>
      </c>
      <c r="I85" t="s">
        <v>40</v>
      </c>
      <c r="J85">
        <v>5</v>
      </c>
      <c r="K85" t="s">
        <v>19</v>
      </c>
      <c r="L85" t="s">
        <v>115</v>
      </c>
      <c r="M85">
        <v>2</v>
      </c>
      <c r="N85">
        <v>7</v>
      </c>
      <c r="O85" t="s">
        <v>2563</v>
      </c>
    </row>
    <row r="86" spans="1:15">
      <c r="A86" t="s">
        <v>1081</v>
      </c>
      <c r="B86" t="s">
        <v>54</v>
      </c>
      <c r="C86">
        <v>9</v>
      </c>
      <c r="D86">
        <v>34.6</v>
      </c>
      <c r="E86">
        <v>311.40000000000003</v>
      </c>
      <c r="F86" s="29">
        <v>45696</v>
      </c>
      <c r="G86" s="29">
        <v>45697</v>
      </c>
      <c r="H86" t="s">
        <v>27</v>
      </c>
      <c r="I86" t="s">
        <v>40</v>
      </c>
      <c r="J86">
        <v>3</v>
      </c>
      <c r="K86" t="s">
        <v>19</v>
      </c>
      <c r="L86" t="s">
        <v>115</v>
      </c>
      <c r="M86">
        <v>1</v>
      </c>
      <c r="N86">
        <v>6</v>
      </c>
      <c r="O86" t="s">
        <v>2562</v>
      </c>
    </row>
    <row r="87" spans="1:15">
      <c r="A87" t="s">
        <v>1080</v>
      </c>
      <c r="B87" t="s">
        <v>26</v>
      </c>
      <c r="C87">
        <v>2</v>
      </c>
      <c r="D87">
        <v>167.9</v>
      </c>
      <c r="E87">
        <v>335.8</v>
      </c>
      <c r="F87" s="29">
        <v>45696</v>
      </c>
      <c r="G87" s="29">
        <v>45697</v>
      </c>
      <c r="H87" t="s">
        <v>27</v>
      </c>
      <c r="I87" t="s">
        <v>51</v>
      </c>
      <c r="J87">
        <v>5</v>
      </c>
      <c r="K87" t="s">
        <v>19</v>
      </c>
      <c r="L87" t="s">
        <v>115</v>
      </c>
      <c r="M87">
        <v>1</v>
      </c>
      <c r="N87">
        <v>6</v>
      </c>
      <c r="O87" t="s">
        <v>2562</v>
      </c>
    </row>
    <row r="88" spans="1:15">
      <c r="A88" t="s">
        <v>1079</v>
      </c>
      <c r="B88" t="s">
        <v>69</v>
      </c>
      <c r="C88">
        <v>5</v>
      </c>
      <c r="D88">
        <v>66.8</v>
      </c>
      <c r="E88">
        <v>334</v>
      </c>
      <c r="F88" s="29">
        <v>45696</v>
      </c>
      <c r="G88" s="29">
        <v>45699</v>
      </c>
      <c r="H88" t="s">
        <v>27</v>
      </c>
      <c r="I88" t="s">
        <v>18</v>
      </c>
      <c r="J88">
        <v>4</v>
      </c>
      <c r="K88" t="s">
        <v>19</v>
      </c>
      <c r="L88" t="s">
        <v>115</v>
      </c>
      <c r="M88">
        <v>3</v>
      </c>
      <c r="N88">
        <v>6</v>
      </c>
      <c r="O88" t="s">
        <v>2562</v>
      </c>
    </row>
    <row r="89" spans="1:15">
      <c r="A89" t="s">
        <v>1078</v>
      </c>
      <c r="B89" t="s">
        <v>32</v>
      </c>
      <c r="C89">
        <v>5</v>
      </c>
      <c r="D89">
        <v>26.1</v>
      </c>
      <c r="E89">
        <v>130.5</v>
      </c>
      <c r="F89" s="29">
        <v>45696</v>
      </c>
      <c r="G89" s="29">
        <v>45701</v>
      </c>
      <c r="H89" t="s">
        <v>23</v>
      </c>
      <c r="I89" t="s">
        <v>18</v>
      </c>
      <c r="J89">
        <v>5</v>
      </c>
      <c r="K89" t="s">
        <v>19</v>
      </c>
      <c r="L89" t="s">
        <v>115</v>
      </c>
      <c r="M89">
        <v>5</v>
      </c>
      <c r="N89">
        <v>6</v>
      </c>
      <c r="O89" t="s">
        <v>2563</v>
      </c>
    </row>
    <row r="90" spans="1:15">
      <c r="A90" t="s">
        <v>1045</v>
      </c>
      <c r="B90" t="s">
        <v>30</v>
      </c>
      <c r="C90">
        <v>3</v>
      </c>
      <c r="D90">
        <v>76.5</v>
      </c>
      <c r="E90">
        <v>229.5</v>
      </c>
      <c r="F90" s="29">
        <v>45695</v>
      </c>
      <c r="G90" s="29">
        <v>45696</v>
      </c>
      <c r="H90" t="s">
        <v>27</v>
      </c>
      <c r="I90" t="s">
        <v>18</v>
      </c>
      <c r="J90">
        <v>3</v>
      </c>
      <c r="K90" t="s">
        <v>19</v>
      </c>
      <c r="L90" t="s">
        <v>115</v>
      </c>
      <c r="M90">
        <v>1</v>
      </c>
      <c r="N90">
        <v>6</v>
      </c>
      <c r="O90" t="s">
        <v>2562</v>
      </c>
    </row>
    <row r="91" spans="1:15">
      <c r="A91" t="s">
        <v>943</v>
      </c>
      <c r="B91" t="s">
        <v>39</v>
      </c>
      <c r="C91">
        <v>2</v>
      </c>
      <c r="D91">
        <v>45.3</v>
      </c>
      <c r="E91">
        <v>90.6</v>
      </c>
      <c r="F91" s="29">
        <v>45693</v>
      </c>
      <c r="G91" s="29">
        <v>45697</v>
      </c>
      <c r="H91" t="s">
        <v>23</v>
      </c>
      <c r="I91" t="s">
        <v>70</v>
      </c>
      <c r="J91">
        <v>5</v>
      </c>
      <c r="K91" t="s">
        <v>19</v>
      </c>
      <c r="L91" t="s">
        <v>115</v>
      </c>
      <c r="M91">
        <v>4</v>
      </c>
      <c r="N91">
        <v>6</v>
      </c>
      <c r="O91" t="s">
        <v>2563</v>
      </c>
    </row>
    <row r="92" spans="1:15">
      <c r="A92" t="s">
        <v>942</v>
      </c>
      <c r="B92" t="s">
        <v>32</v>
      </c>
      <c r="C92">
        <v>2</v>
      </c>
      <c r="D92">
        <v>22.6</v>
      </c>
      <c r="E92">
        <v>45.2</v>
      </c>
      <c r="F92" s="29">
        <v>45693</v>
      </c>
      <c r="G92" s="29">
        <v>45695</v>
      </c>
      <c r="H92" t="s">
        <v>27</v>
      </c>
      <c r="I92" t="s">
        <v>35</v>
      </c>
      <c r="J92">
        <v>5</v>
      </c>
      <c r="K92" t="s">
        <v>19</v>
      </c>
      <c r="L92" t="s">
        <v>115</v>
      </c>
      <c r="M92">
        <v>2</v>
      </c>
      <c r="N92">
        <v>6</v>
      </c>
      <c r="O92" t="s">
        <v>2562</v>
      </c>
    </row>
    <row r="93" spans="1:15">
      <c r="A93" t="s">
        <v>941</v>
      </c>
      <c r="B93" t="s">
        <v>37</v>
      </c>
      <c r="C93">
        <v>20</v>
      </c>
      <c r="D93">
        <v>69.099999999999994</v>
      </c>
      <c r="E93">
        <v>1382</v>
      </c>
      <c r="F93" s="29">
        <v>45693</v>
      </c>
      <c r="G93" s="29">
        <v>45699</v>
      </c>
      <c r="H93" t="s">
        <v>23</v>
      </c>
      <c r="I93" t="s">
        <v>18</v>
      </c>
      <c r="J93">
        <v>5</v>
      </c>
      <c r="K93" t="s">
        <v>19</v>
      </c>
      <c r="L93" t="s">
        <v>115</v>
      </c>
      <c r="M93">
        <v>6</v>
      </c>
      <c r="N93">
        <v>6</v>
      </c>
      <c r="O93" t="s">
        <v>2563</v>
      </c>
    </row>
    <row r="94" spans="1:15">
      <c r="A94" t="s">
        <v>940</v>
      </c>
      <c r="B94" t="s">
        <v>26</v>
      </c>
      <c r="C94">
        <v>6</v>
      </c>
      <c r="D94">
        <v>72.599999999999994</v>
      </c>
      <c r="E94">
        <v>435.59999999999997</v>
      </c>
      <c r="F94" s="29">
        <v>45692</v>
      </c>
      <c r="G94" s="29">
        <v>45693</v>
      </c>
      <c r="H94" t="s">
        <v>27</v>
      </c>
      <c r="I94" t="s">
        <v>18</v>
      </c>
      <c r="J94">
        <v>4</v>
      </c>
      <c r="K94" t="s">
        <v>19</v>
      </c>
      <c r="L94" t="s">
        <v>115</v>
      </c>
      <c r="M94">
        <v>1</v>
      </c>
      <c r="N94">
        <v>6</v>
      </c>
      <c r="O94" t="s">
        <v>2562</v>
      </c>
    </row>
    <row r="95" spans="1:15">
      <c r="A95" t="s">
        <v>908</v>
      </c>
      <c r="B95" t="s">
        <v>30</v>
      </c>
      <c r="C95">
        <v>10</v>
      </c>
      <c r="D95">
        <v>79.7</v>
      </c>
      <c r="E95">
        <v>797</v>
      </c>
      <c r="F95" s="29">
        <v>45692</v>
      </c>
      <c r="G95" s="29">
        <v>45693</v>
      </c>
      <c r="H95" t="s">
        <v>27</v>
      </c>
      <c r="I95" t="s">
        <v>70</v>
      </c>
      <c r="J95">
        <v>3</v>
      </c>
      <c r="K95" t="s">
        <v>19</v>
      </c>
      <c r="L95" t="s">
        <v>115</v>
      </c>
      <c r="M95">
        <v>1</v>
      </c>
      <c r="N95">
        <v>6</v>
      </c>
      <c r="O95" t="s">
        <v>2562</v>
      </c>
    </row>
    <row r="96" spans="1:15">
      <c r="A96" t="s">
        <v>162</v>
      </c>
      <c r="B96" t="s">
        <v>46</v>
      </c>
      <c r="C96">
        <v>4</v>
      </c>
      <c r="D96">
        <v>30.1</v>
      </c>
      <c r="E96">
        <v>120.4</v>
      </c>
      <c r="F96" s="29">
        <v>45661</v>
      </c>
      <c r="G96" s="29">
        <v>45662</v>
      </c>
      <c r="H96" t="s">
        <v>27</v>
      </c>
      <c r="I96" t="s">
        <v>18</v>
      </c>
      <c r="J96">
        <v>5</v>
      </c>
      <c r="K96" t="s">
        <v>19</v>
      </c>
      <c r="L96" t="s">
        <v>115</v>
      </c>
      <c r="M96">
        <v>1</v>
      </c>
      <c r="N96">
        <v>1</v>
      </c>
      <c r="O96" t="s">
        <v>2562</v>
      </c>
    </row>
    <row r="97" spans="1:15">
      <c r="A97" t="s">
        <v>907</v>
      </c>
      <c r="B97" t="s">
        <v>54</v>
      </c>
      <c r="C97">
        <v>13</v>
      </c>
      <c r="D97">
        <v>34.6</v>
      </c>
      <c r="E97">
        <v>449.8</v>
      </c>
      <c r="F97" s="29">
        <v>45692</v>
      </c>
      <c r="G97" s="29">
        <v>45694</v>
      </c>
      <c r="H97" t="s">
        <v>27</v>
      </c>
      <c r="I97" t="s">
        <v>18</v>
      </c>
      <c r="J97">
        <v>3</v>
      </c>
      <c r="K97" t="s">
        <v>19</v>
      </c>
      <c r="L97" t="s">
        <v>115</v>
      </c>
      <c r="M97">
        <v>2</v>
      </c>
      <c r="N97">
        <v>6</v>
      </c>
      <c r="O97" t="s">
        <v>2562</v>
      </c>
    </row>
    <row r="98" spans="1:15">
      <c r="A98" t="s">
        <v>906</v>
      </c>
      <c r="B98" t="s">
        <v>67</v>
      </c>
      <c r="C98">
        <v>3</v>
      </c>
      <c r="D98">
        <v>38</v>
      </c>
      <c r="E98">
        <v>114</v>
      </c>
      <c r="F98" s="29">
        <v>45692</v>
      </c>
      <c r="G98" s="29">
        <v>45694</v>
      </c>
      <c r="H98" t="s">
        <v>27</v>
      </c>
      <c r="I98" t="s">
        <v>35</v>
      </c>
      <c r="J98">
        <v>5</v>
      </c>
      <c r="K98" t="s">
        <v>19</v>
      </c>
      <c r="L98" t="s">
        <v>115</v>
      </c>
      <c r="M98">
        <v>2</v>
      </c>
      <c r="N98">
        <v>6</v>
      </c>
      <c r="O98" t="s">
        <v>2562</v>
      </c>
    </row>
    <row r="99" spans="1:15">
      <c r="A99" t="s">
        <v>905</v>
      </c>
      <c r="B99" t="s">
        <v>32</v>
      </c>
      <c r="C99">
        <v>1</v>
      </c>
      <c r="D99">
        <v>46</v>
      </c>
      <c r="E99">
        <v>46</v>
      </c>
      <c r="F99" s="29">
        <v>45692</v>
      </c>
      <c r="G99" s="29">
        <v>45693</v>
      </c>
      <c r="H99" t="s">
        <v>27</v>
      </c>
      <c r="I99" t="s">
        <v>18</v>
      </c>
      <c r="J99">
        <v>5</v>
      </c>
      <c r="K99" t="s">
        <v>19</v>
      </c>
      <c r="L99" t="s">
        <v>115</v>
      </c>
      <c r="M99">
        <v>1</v>
      </c>
      <c r="N99">
        <v>6</v>
      </c>
      <c r="O99" t="s">
        <v>2562</v>
      </c>
    </row>
    <row r="100" spans="1:15">
      <c r="A100" t="s">
        <v>904</v>
      </c>
      <c r="B100" t="s">
        <v>39</v>
      </c>
      <c r="C100">
        <v>6</v>
      </c>
      <c r="D100">
        <v>63.3</v>
      </c>
      <c r="E100">
        <v>379.79999999999995</v>
      </c>
      <c r="F100" s="29">
        <v>45692</v>
      </c>
      <c r="G100" s="29">
        <v>45693</v>
      </c>
      <c r="H100" t="s">
        <v>17</v>
      </c>
      <c r="I100" t="s">
        <v>18</v>
      </c>
      <c r="J100">
        <v>5</v>
      </c>
      <c r="K100" t="s">
        <v>19</v>
      </c>
      <c r="L100" t="s">
        <v>115</v>
      </c>
      <c r="M100">
        <v>1</v>
      </c>
      <c r="N100">
        <v>6</v>
      </c>
      <c r="O100" t="s">
        <v>2565</v>
      </c>
    </row>
    <row r="101" spans="1:15">
      <c r="A101" t="s">
        <v>853</v>
      </c>
      <c r="B101" t="s">
        <v>22</v>
      </c>
      <c r="C101">
        <v>3</v>
      </c>
      <c r="D101">
        <v>48.7</v>
      </c>
      <c r="E101">
        <v>146.10000000000002</v>
      </c>
      <c r="F101" s="29">
        <v>45690</v>
      </c>
      <c r="G101" s="29">
        <v>45695</v>
      </c>
      <c r="H101" t="s">
        <v>27</v>
      </c>
      <c r="I101" t="s">
        <v>18</v>
      </c>
      <c r="J101">
        <v>3</v>
      </c>
      <c r="K101" t="s">
        <v>19</v>
      </c>
      <c r="L101" t="s">
        <v>115</v>
      </c>
      <c r="M101">
        <v>5</v>
      </c>
      <c r="N101">
        <v>6</v>
      </c>
      <c r="O101" t="s">
        <v>2562</v>
      </c>
    </row>
    <row r="102" spans="1:15">
      <c r="A102" t="s">
        <v>839</v>
      </c>
      <c r="B102" t="s">
        <v>32</v>
      </c>
      <c r="C102">
        <v>5</v>
      </c>
      <c r="D102">
        <v>46.8</v>
      </c>
      <c r="E102">
        <v>234</v>
      </c>
      <c r="F102" s="29">
        <v>45690</v>
      </c>
      <c r="G102" s="29">
        <v>45698</v>
      </c>
      <c r="H102" t="s">
        <v>27</v>
      </c>
      <c r="I102" t="s">
        <v>18</v>
      </c>
      <c r="J102">
        <v>3</v>
      </c>
      <c r="K102" t="s">
        <v>19</v>
      </c>
      <c r="L102" t="s">
        <v>115</v>
      </c>
      <c r="M102">
        <v>8</v>
      </c>
      <c r="N102">
        <v>6</v>
      </c>
      <c r="O102" t="s">
        <v>2562</v>
      </c>
    </row>
    <row r="103" spans="1:15">
      <c r="A103" t="s">
        <v>838</v>
      </c>
      <c r="B103" t="s">
        <v>30</v>
      </c>
      <c r="C103">
        <v>3</v>
      </c>
      <c r="D103">
        <v>133.69999999999999</v>
      </c>
      <c r="E103">
        <v>401.09999999999997</v>
      </c>
      <c r="F103" s="29">
        <v>45689</v>
      </c>
      <c r="G103" s="29">
        <v>45690</v>
      </c>
      <c r="H103" t="s">
        <v>17</v>
      </c>
      <c r="I103" t="s">
        <v>70</v>
      </c>
      <c r="J103">
        <v>5</v>
      </c>
      <c r="K103" t="s">
        <v>19</v>
      </c>
      <c r="L103" t="s">
        <v>115</v>
      </c>
      <c r="M103">
        <v>1</v>
      </c>
      <c r="N103">
        <v>5</v>
      </c>
      <c r="O103" t="s">
        <v>2565</v>
      </c>
    </row>
    <row r="104" spans="1:15">
      <c r="A104" t="s">
        <v>837</v>
      </c>
      <c r="B104" t="s">
        <v>39</v>
      </c>
      <c r="C104">
        <v>2</v>
      </c>
      <c r="D104">
        <v>105.7</v>
      </c>
      <c r="E104">
        <v>211.4</v>
      </c>
      <c r="F104" s="29">
        <v>45689</v>
      </c>
      <c r="G104" s="29">
        <v>45690</v>
      </c>
      <c r="H104" t="s">
        <v>27</v>
      </c>
      <c r="I104" t="s">
        <v>40</v>
      </c>
      <c r="J104">
        <v>5</v>
      </c>
      <c r="K104" t="s">
        <v>19</v>
      </c>
      <c r="L104" t="s">
        <v>115</v>
      </c>
      <c r="M104">
        <v>1</v>
      </c>
      <c r="N104">
        <v>5</v>
      </c>
      <c r="O104" t="s">
        <v>2562</v>
      </c>
    </row>
    <row r="105" spans="1:15">
      <c r="A105" t="s">
        <v>820</v>
      </c>
      <c r="B105" t="s">
        <v>39</v>
      </c>
      <c r="C105">
        <v>3</v>
      </c>
      <c r="D105">
        <v>86.3</v>
      </c>
      <c r="E105">
        <v>258.89999999999998</v>
      </c>
      <c r="F105" s="29">
        <v>45688</v>
      </c>
      <c r="G105" s="29">
        <v>45690</v>
      </c>
      <c r="H105" t="s">
        <v>27</v>
      </c>
      <c r="I105" t="s">
        <v>51</v>
      </c>
      <c r="J105">
        <v>4</v>
      </c>
      <c r="K105" t="s">
        <v>19</v>
      </c>
      <c r="L105" t="s">
        <v>115</v>
      </c>
      <c r="M105">
        <v>2</v>
      </c>
      <c r="N105">
        <v>5</v>
      </c>
      <c r="O105" t="s">
        <v>2562</v>
      </c>
    </row>
    <row r="106" spans="1:15">
      <c r="A106" t="s">
        <v>786</v>
      </c>
      <c r="B106" t="s">
        <v>32</v>
      </c>
      <c r="C106">
        <v>1</v>
      </c>
      <c r="D106">
        <v>32</v>
      </c>
      <c r="E106">
        <v>32</v>
      </c>
      <c r="F106" s="29">
        <v>45687</v>
      </c>
      <c r="G106" s="29">
        <v>45690</v>
      </c>
      <c r="H106" t="s">
        <v>23</v>
      </c>
      <c r="I106" t="s">
        <v>51</v>
      </c>
      <c r="J106">
        <v>4</v>
      </c>
      <c r="K106" t="s">
        <v>19</v>
      </c>
      <c r="L106" t="s">
        <v>115</v>
      </c>
      <c r="M106">
        <v>3</v>
      </c>
      <c r="N106">
        <v>5</v>
      </c>
      <c r="O106" t="s">
        <v>2563</v>
      </c>
    </row>
    <row r="107" spans="1:15">
      <c r="A107" t="s">
        <v>753</v>
      </c>
      <c r="B107" t="s">
        <v>44</v>
      </c>
      <c r="C107">
        <v>4</v>
      </c>
      <c r="D107">
        <v>24.3</v>
      </c>
      <c r="E107">
        <v>97.2</v>
      </c>
      <c r="F107" s="29">
        <v>45686</v>
      </c>
      <c r="G107" s="29">
        <v>45688</v>
      </c>
      <c r="H107" t="s">
        <v>27</v>
      </c>
      <c r="I107" t="s">
        <v>35</v>
      </c>
      <c r="J107">
        <v>5</v>
      </c>
      <c r="K107" t="s">
        <v>19</v>
      </c>
      <c r="L107" t="s">
        <v>115</v>
      </c>
      <c r="M107">
        <v>2</v>
      </c>
      <c r="N107">
        <v>5</v>
      </c>
      <c r="O107" t="s">
        <v>2562</v>
      </c>
    </row>
    <row r="108" spans="1:15">
      <c r="A108" t="s">
        <v>723</v>
      </c>
      <c r="B108" t="s">
        <v>44</v>
      </c>
      <c r="C108">
        <v>2</v>
      </c>
      <c r="D108">
        <v>22.1</v>
      </c>
      <c r="E108">
        <v>44.2</v>
      </c>
      <c r="F108" s="29">
        <v>45684</v>
      </c>
      <c r="G108" s="29">
        <v>45687</v>
      </c>
      <c r="H108" t="s">
        <v>23</v>
      </c>
      <c r="I108" t="s">
        <v>35</v>
      </c>
      <c r="J108">
        <v>5</v>
      </c>
      <c r="K108" t="s">
        <v>19</v>
      </c>
      <c r="L108" t="s">
        <v>115</v>
      </c>
      <c r="M108">
        <v>3</v>
      </c>
      <c r="N108">
        <v>5</v>
      </c>
      <c r="O108" t="s">
        <v>2563</v>
      </c>
    </row>
    <row r="109" spans="1:15">
      <c r="A109" t="s">
        <v>722</v>
      </c>
      <c r="B109" t="s">
        <v>32</v>
      </c>
      <c r="C109">
        <v>1</v>
      </c>
      <c r="D109">
        <v>58.8</v>
      </c>
      <c r="E109">
        <v>58.8</v>
      </c>
      <c r="F109" s="29">
        <v>45684</v>
      </c>
      <c r="G109" s="29">
        <v>45686</v>
      </c>
      <c r="H109" t="s">
        <v>27</v>
      </c>
      <c r="I109" t="s">
        <v>18</v>
      </c>
      <c r="J109">
        <v>3</v>
      </c>
      <c r="K109" t="s">
        <v>19</v>
      </c>
      <c r="L109" t="s">
        <v>115</v>
      </c>
      <c r="M109">
        <v>2</v>
      </c>
      <c r="N109">
        <v>5</v>
      </c>
      <c r="O109" t="s">
        <v>2562</v>
      </c>
    </row>
    <row r="110" spans="1:15">
      <c r="A110" t="s">
        <v>721</v>
      </c>
      <c r="B110" t="s">
        <v>44</v>
      </c>
      <c r="C110">
        <v>3</v>
      </c>
      <c r="D110">
        <v>18.600000000000001</v>
      </c>
      <c r="E110">
        <v>55.800000000000004</v>
      </c>
      <c r="F110" s="29">
        <v>45684</v>
      </c>
      <c r="G110" s="29">
        <v>45685</v>
      </c>
      <c r="H110" t="s">
        <v>27</v>
      </c>
      <c r="I110" t="s">
        <v>40</v>
      </c>
      <c r="J110">
        <v>4</v>
      </c>
      <c r="K110" t="s">
        <v>19</v>
      </c>
      <c r="L110" t="s">
        <v>115</v>
      </c>
      <c r="M110">
        <v>1</v>
      </c>
      <c r="N110">
        <v>5</v>
      </c>
      <c r="O110" t="s">
        <v>2562</v>
      </c>
    </row>
    <row r="111" spans="1:15">
      <c r="A111" t="s">
        <v>704</v>
      </c>
      <c r="B111" t="s">
        <v>16</v>
      </c>
      <c r="C111">
        <v>20</v>
      </c>
      <c r="D111">
        <v>26.2</v>
      </c>
      <c r="E111">
        <v>524</v>
      </c>
      <c r="F111" s="29">
        <v>45683</v>
      </c>
      <c r="G111" s="29">
        <v>45684</v>
      </c>
      <c r="H111" t="s">
        <v>27</v>
      </c>
      <c r="I111" t="s">
        <v>51</v>
      </c>
      <c r="J111">
        <v>4</v>
      </c>
      <c r="K111" t="s">
        <v>19</v>
      </c>
      <c r="L111" t="s">
        <v>115</v>
      </c>
      <c r="M111">
        <v>1</v>
      </c>
      <c r="N111">
        <v>5</v>
      </c>
      <c r="O111" t="s">
        <v>2562</v>
      </c>
    </row>
    <row r="112" spans="1:15">
      <c r="A112" t="s">
        <v>663</v>
      </c>
      <c r="B112" t="s">
        <v>39</v>
      </c>
      <c r="C112">
        <v>2</v>
      </c>
      <c r="D112">
        <v>52.8</v>
      </c>
      <c r="E112">
        <v>105.6</v>
      </c>
      <c r="F112" s="29">
        <v>45682</v>
      </c>
      <c r="G112" s="29">
        <v>45683</v>
      </c>
      <c r="H112" t="s">
        <v>27</v>
      </c>
      <c r="I112" t="s">
        <v>35</v>
      </c>
      <c r="J112">
        <v>3</v>
      </c>
      <c r="K112" t="s">
        <v>19</v>
      </c>
      <c r="L112" t="s">
        <v>115</v>
      </c>
      <c r="M112">
        <v>1</v>
      </c>
      <c r="N112">
        <v>4</v>
      </c>
      <c r="O112" t="s">
        <v>2562</v>
      </c>
    </row>
    <row r="113" spans="1:15">
      <c r="A113" t="s">
        <v>662</v>
      </c>
      <c r="B113" t="s">
        <v>26</v>
      </c>
      <c r="C113">
        <v>2</v>
      </c>
      <c r="D113">
        <v>96.6</v>
      </c>
      <c r="E113">
        <v>193.2</v>
      </c>
      <c r="F113" s="29">
        <v>45682</v>
      </c>
      <c r="G113" s="29">
        <v>45684</v>
      </c>
      <c r="H113" t="s">
        <v>23</v>
      </c>
      <c r="I113" t="s">
        <v>18</v>
      </c>
      <c r="J113">
        <v>4</v>
      </c>
      <c r="K113" t="s">
        <v>19</v>
      </c>
      <c r="L113" t="s">
        <v>115</v>
      </c>
      <c r="M113">
        <v>2</v>
      </c>
      <c r="N113">
        <v>4</v>
      </c>
      <c r="O113" t="s">
        <v>2563</v>
      </c>
    </row>
    <row r="114" spans="1:15">
      <c r="A114" t="s">
        <v>609</v>
      </c>
      <c r="B114" t="s">
        <v>32</v>
      </c>
      <c r="C114">
        <v>13</v>
      </c>
      <c r="D114">
        <v>48.4</v>
      </c>
      <c r="E114">
        <v>629.19999999999993</v>
      </c>
      <c r="F114" s="29">
        <v>45680</v>
      </c>
      <c r="G114" s="29">
        <v>45684</v>
      </c>
      <c r="H114" t="s">
        <v>27</v>
      </c>
      <c r="I114" t="s">
        <v>18</v>
      </c>
      <c r="J114">
        <v>4</v>
      </c>
      <c r="K114" t="s">
        <v>19</v>
      </c>
      <c r="L114" t="s">
        <v>115</v>
      </c>
      <c r="M114">
        <v>4</v>
      </c>
      <c r="N114">
        <v>4</v>
      </c>
      <c r="O114" t="s">
        <v>2562</v>
      </c>
    </row>
    <row r="115" spans="1:15">
      <c r="A115" t="s">
        <v>555</v>
      </c>
      <c r="B115" t="s">
        <v>39</v>
      </c>
      <c r="C115">
        <v>1</v>
      </c>
      <c r="D115">
        <v>48.5</v>
      </c>
      <c r="E115">
        <v>48.5</v>
      </c>
      <c r="F115" s="29">
        <v>45678</v>
      </c>
      <c r="G115" s="29">
        <v>45679</v>
      </c>
      <c r="H115" t="s">
        <v>27</v>
      </c>
      <c r="I115" t="s">
        <v>18</v>
      </c>
      <c r="J115">
        <v>3</v>
      </c>
      <c r="K115" t="s">
        <v>19</v>
      </c>
      <c r="L115" t="s">
        <v>115</v>
      </c>
      <c r="M115">
        <v>1</v>
      </c>
      <c r="N115">
        <v>4</v>
      </c>
      <c r="O115" t="s">
        <v>2562</v>
      </c>
    </row>
    <row r="116" spans="1:15">
      <c r="A116" t="s">
        <v>554</v>
      </c>
      <c r="B116" t="s">
        <v>22</v>
      </c>
      <c r="C116">
        <v>5</v>
      </c>
      <c r="D116">
        <v>75.3</v>
      </c>
      <c r="E116">
        <v>376.5</v>
      </c>
      <c r="F116" s="29">
        <v>45678</v>
      </c>
      <c r="G116" s="29">
        <v>45679</v>
      </c>
      <c r="H116" t="s">
        <v>23</v>
      </c>
      <c r="I116" t="s">
        <v>18</v>
      </c>
      <c r="J116">
        <v>4</v>
      </c>
      <c r="K116" t="s">
        <v>19</v>
      </c>
      <c r="L116" t="s">
        <v>115</v>
      </c>
      <c r="M116">
        <v>1</v>
      </c>
      <c r="N116">
        <v>4</v>
      </c>
      <c r="O116" t="s">
        <v>2563</v>
      </c>
    </row>
    <row r="117" spans="1:15">
      <c r="A117" t="s">
        <v>536</v>
      </c>
      <c r="B117" t="s">
        <v>39</v>
      </c>
      <c r="C117">
        <v>7</v>
      </c>
      <c r="D117">
        <v>40.799999999999997</v>
      </c>
      <c r="E117">
        <v>285.59999999999997</v>
      </c>
      <c r="F117" s="29">
        <v>45677</v>
      </c>
      <c r="G117" s="29">
        <v>45680</v>
      </c>
      <c r="H117" t="s">
        <v>27</v>
      </c>
      <c r="I117" t="s">
        <v>40</v>
      </c>
      <c r="J117">
        <v>5</v>
      </c>
      <c r="K117" t="s">
        <v>19</v>
      </c>
      <c r="L117" t="s">
        <v>115</v>
      </c>
      <c r="M117">
        <v>3</v>
      </c>
      <c r="N117">
        <v>4</v>
      </c>
      <c r="O117" t="s">
        <v>2562</v>
      </c>
    </row>
    <row r="118" spans="1:15">
      <c r="A118" t="s">
        <v>484</v>
      </c>
      <c r="B118" t="s">
        <v>146</v>
      </c>
      <c r="C118">
        <v>2</v>
      </c>
      <c r="D118">
        <v>69.7</v>
      </c>
      <c r="E118">
        <v>139.4</v>
      </c>
      <c r="F118" s="29">
        <v>45675</v>
      </c>
      <c r="G118" s="29">
        <v>45680</v>
      </c>
      <c r="H118" t="s">
        <v>23</v>
      </c>
      <c r="I118" t="s">
        <v>35</v>
      </c>
      <c r="J118">
        <v>4</v>
      </c>
      <c r="K118" t="s">
        <v>19</v>
      </c>
      <c r="L118" t="s">
        <v>115</v>
      </c>
      <c r="M118">
        <v>5</v>
      </c>
      <c r="N118">
        <v>3</v>
      </c>
      <c r="O118" t="s">
        <v>2563</v>
      </c>
    </row>
    <row r="119" spans="1:15">
      <c r="A119" t="s">
        <v>483</v>
      </c>
      <c r="B119" t="s">
        <v>123</v>
      </c>
      <c r="C119">
        <v>3</v>
      </c>
      <c r="D119">
        <v>41.5</v>
      </c>
      <c r="E119">
        <v>124.5</v>
      </c>
      <c r="F119" s="29">
        <v>45675</v>
      </c>
      <c r="G119" s="29">
        <v>45677</v>
      </c>
      <c r="H119" t="s">
        <v>89</v>
      </c>
      <c r="I119" t="s">
        <v>35</v>
      </c>
      <c r="J119">
        <v>4</v>
      </c>
      <c r="K119" t="s">
        <v>19</v>
      </c>
      <c r="L119" t="s">
        <v>115</v>
      </c>
      <c r="M119">
        <v>2</v>
      </c>
      <c r="N119">
        <v>3</v>
      </c>
      <c r="O119" t="s">
        <v>2564</v>
      </c>
    </row>
    <row r="120" spans="1:15">
      <c r="A120" t="s">
        <v>482</v>
      </c>
      <c r="B120" t="s">
        <v>37</v>
      </c>
      <c r="C120">
        <v>5</v>
      </c>
      <c r="D120">
        <v>81</v>
      </c>
      <c r="E120">
        <v>405</v>
      </c>
      <c r="F120" s="29">
        <v>45675</v>
      </c>
      <c r="G120" s="29">
        <v>45681</v>
      </c>
      <c r="H120" t="s">
        <v>23</v>
      </c>
      <c r="I120" t="s">
        <v>51</v>
      </c>
      <c r="J120">
        <v>4</v>
      </c>
      <c r="K120" t="s">
        <v>19</v>
      </c>
      <c r="L120" t="s">
        <v>115</v>
      </c>
      <c r="M120">
        <v>6</v>
      </c>
      <c r="N120">
        <v>3</v>
      </c>
      <c r="O120" t="s">
        <v>2563</v>
      </c>
    </row>
    <row r="121" spans="1:15">
      <c r="A121" t="s">
        <v>459</v>
      </c>
      <c r="B121" t="s">
        <v>32</v>
      </c>
      <c r="C121">
        <v>4</v>
      </c>
      <c r="D121">
        <v>36.200000000000003</v>
      </c>
      <c r="E121">
        <v>144.80000000000001</v>
      </c>
      <c r="F121" s="29">
        <v>45674</v>
      </c>
      <c r="G121" s="29">
        <v>45675</v>
      </c>
      <c r="H121" t="s">
        <v>23</v>
      </c>
      <c r="I121" t="s">
        <v>40</v>
      </c>
      <c r="J121">
        <v>5</v>
      </c>
      <c r="K121" t="s">
        <v>19</v>
      </c>
      <c r="L121" t="s">
        <v>115</v>
      </c>
      <c r="M121">
        <v>1</v>
      </c>
      <c r="N121">
        <v>3</v>
      </c>
      <c r="O121" t="s">
        <v>2563</v>
      </c>
    </row>
    <row r="122" spans="1:15">
      <c r="A122" t="s">
        <v>433</v>
      </c>
      <c r="B122" t="s">
        <v>123</v>
      </c>
      <c r="C122">
        <v>1</v>
      </c>
      <c r="D122">
        <v>20.399999999999999</v>
      </c>
      <c r="E122">
        <v>20.399999999999999</v>
      </c>
      <c r="F122" s="29">
        <v>45672</v>
      </c>
      <c r="G122" s="29">
        <v>45674</v>
      </c>
      <c r="H122" t="s">
        <v>23</v>
      </c>
      <c r="I122" t="s">
        <v>70</v>
      </c>
      <c r="J122">
        <v>3</v>
      </c>
      <c r="K122" t="s">
        <v>19</v>
      </c>
      <c r="L122" t="s">
        <v>115</v>
      </c>
      <c r="M122">
        <v>2</v>
      </c>
      <c r="N122">
        <v>3</v>
      </c>
      <c r="O122" t="s">
        <v>2563</v>
      </c>
    </row>
    <row r="123" spans="1:15">
      <c r="A123" t="s">
        <v>432</v>
      </c>
      <c r="B123" t="s">
        <v>123</v>
      </c>
      <c r="C123">
        <v>1</v>
      </c>
      <c r="D123">
        <v>43.8</v>
      </c>
      <c r="E123">
        <v>43.8</v>
      </c>
      <c r="F123" s="29">
        <v>45672</v>
      </c>
      <c r="G123" s="29">
        <v>45674</v>
      </c>
      <c r="H123" t="s">
        <v>17</v>
      </c>
      <c r="I123" t="s">
        <v>18</v>
      </c>
      <c r="J123">
        <v>5</v>
      </c>
      <c r="K123" t="s">
        <v>19</v>
      </c>
      <c r="L123" t="s">
        <v>115</v>
      </c>
      <c r="M123">
        <v>2</v>
      </c>
      <c r="N123">
        <v>3</v>
      </c>
      <c r="O123" t="s">
        <v>2565</v>
      </c>
    </row>
    <row r="124" spans="1:15">
      <c r="A124" t="s">
        <v>431</v>
      </c>
      <c r="B124" t="s">
        <v>44</v>
      </c>
      <c r="C124">
        <v>13</v>
      </c>
      <c r="D124">
        <v>34.6</v>
      </c>
      <c r="E124">
        <v>449.8</v>
      </c>
      <c r="F124" s="29">
        <v>45672</v>
      </c>
      <c r="G124" s="29">
        <v>45672</v>
      </c>
      <c r="H124" t="s">
        <v>27</v>
      </c>
      <c r="I124" t="s">
        <v>35</v>
      </c>
      <c r="J124">
        <v>3</v>
      </c>
      <c r="K124" t="s">
        <v>19</v>
      </c>
      <c r="L124" t="s">
        <v>115</v>
      </c>
      <c r="M124">
        <v>0</v>
      </c>
      <c r="N124">
        <v>3</v>
      </c>
      <c r="O124" t="s">
        <v>2562</v>
      </c>
    </row>
    <row r="125" spans="1:15">
      <c r="A125" t="s">
        <v>430</v>
      </c>
      <c r="B125" t="s">
        <v>30</v>
      </c>
      <c r="C125">
        <v>5</v>
      </c>
      <c r="D125">
        <v>45.2</v>
      </c>
      <c r="E125">
        <v>226</v>
      </c>
      <c r="F125" s="29">
        <v>45672</v>
      </c>
      <c r="G125" s="29">
        <v>45676</v>
      </c>
      <c r="H125" t="s">
        <v>27</v>
      </c>
      <c r="I125" t="s">
        <v>35</v>
      </c>
      <c r="J125">
        <v>4</v>
      </c>
      <c r="K125" t="s">
        <v>19</v>
      </c>
      <c r="L125" t="s">
        <v>115</v>
      </c>
      <c r="M125">
        <v>4</v>
      </c>
      <c r="N125">
        <v>3</v>
      </c>
      <c r="O125" t="s">
        <v>2562</v>
      </c>
    </row>
    <row r="126" spans="1:15">
      <c r="A126" t="s">
        <v>401</v>
      </c>
      <c r="B126" t="s">
        <v>39</v>
      </c>
      <c r="C126">
        <v>1</v>
      </c>
      <c r="D126">
        <v>124.3</v>
      </c>
      <c r="E126">
        <v>124.3</v>
      </c>
      <c r="F126" s="29">
        <v>45671</v>
      </c>
      <c r="G126" s="29">
        <v>45672</v>
      </c>
      <c r="H126" t="s">
        <v>17</v>
      </c>
      <c r="I126" t="s">
        <v>40</v>
      </c>
      <c r="J126">
        <v>3</v>
      </c>
      <c r="K126" t="s">
        <v>19</v>
      </c>
      <c r="L126" t="s">
        <v>115</v>
      </c>
      <c r="M126">
        <v>1</v>
      </c>
      <c r="N126">
        <v>3</v>
      </c>
      <c r="O126" t="s">
        <v>2565</v>
      </c>
    </row>
    <row r="127" spans="1:15">
      <c r="A127" t="s">
        <v>349</v>
      </c>
      <c r="B127" t="s">
        <v>39</v>
      </c>
      <c r="C127">
        <v>4</v>
      </c>
      <c r="D127">
        <v>44.2</v>
      </c>
      <c r="E127">
        <v>176.8</v>
      </c>
      <c r="F127" s="29">
        <v>45669</v>
      </c>
      <c r="G127" s="29">
        <v>45672</v>
      </c>
      <c r="H127" t="s">
        <v>27</v>
      </c>
      <c r="I127" t="s">
        <v>18</v>
      </c>
      <c r="J127">
        <v>5</v>
      </c>
      <c r="K127" t="s">
        <v>19</v>
      </c>
      <c r="L127" t="s">
        <v>115</v>
      </c>
      <c r="M127">
        <v>3</v>
      </c>
      <c r="N127">
        <v>3</v>
      </c>
      <c r="O127" t="s">
        <v>2562</v>
      </c>
    </row>
    <row r="128" spans="1:15">
      <c r="A128" t="s">
        <v>328</v>
      </c>
      <c r="B128" t="s">
        <v>26</v>
      </c>
      <c r="C128">
        <v>3</v>
      </c>
      <c r="D128">
        <v>142.4</v>
      </c>
      <c r="E128">
        <v>427.20000000000005</v>
      </c>
      <c r="F128" s="29">
        <v>45668</v>
      </c>
      <c r="G128" s="29">
        <v>45670</v>
      </c>
      <c r="H128" t="s">
        <v>23</v>
      </c>
      <c r="I128" t="s">
        <v>70</v>
      </c>
      <c r="J128">
        <v>3</v>
      </c>
      <c r="K128" t="s">
        <v>19</v>
      </c>
      <c r="L128" t="s">
        <v>115</v>
      </c>
      <c r="M128">
        <v>2</v>
      </c>
      <c r="N128">
        <v>2</v>
      </c>
      <c r="O128" t="s">
        <v>2563</v>
      </c>
    </row>
    <row r="129" spans="1:15">
      <c r="A129" t="s">
        <v>327</v>
      </c>
      <c r="B129" t="s">
        <v>26</v>
      </c>
      <c r="C129">
        <v>6</v>
      </c>
      <c r="D129">
        <v>57.6</v>
      </c>
      <c r="E129">
        <v>345.6</v>
      </c>
      <c r="F129" s="29">
        <v>45668</v>
      </c>
      <c r="G129" s="29">
        <v>45682</v>
      </c>
      <c r="H129" t="s">
        <v>27</v>
      </c>
      <c r="I129" t="s">
        <v>18</v>
      </c>
      <c r="J129">
        <v>4</v>
      </c>
      <c r="K129" t="s">
        <v>19</v>
      </c>
      <c r="L129" t="s">
        <v>115</v>
      </c>
      <c r="M129">
        <v>14</v>
      </c>
      <c r="N129">
        <v>2</v>
      </c>
      <c r="O129" t="s">
        <v>2562</v>
      </c>
    </row>
    <row r="130" spans="1:15">
      <c r="A130" t="s">
        <v>326</v>
      </c>
      <c r="B130" t="s">
        <v>16</v>
      </c>
      <c r="C130">
        <v>1</v>
      </c>
      <c r="D130">
        <v>14.3</v>
      </c>
      <c r="E130">
        <v>14.3</v>
      </c>
      <c r="F130" s="29">
        <v>45668</v>
      </c>
      <c r="G130" s="29">
        <v>45669</v>
      </c>
      <c r="H130" t="s">
        <v>27</v>
      </c>
      <c r="I130" t="s">
        <v>18</v>
      </c>
      <c r="J130">
        <v>4</v>
      </c>
      <c r="K130" t="s">
        <v>19</v>
      </c>
      <c r="L130" t="s">
        <v>115</v>
      </c>
      <c r="M130">
        <v>1</v>
      </c>
      <c r="N130">
        <v>2</v>
      </c>
      <c r="O130" t="s">
        <v>2562</v>
      </c>
    </row>
    <row r="131" spans="1:15">
      <c r="A131" t="s">
        <v>294</v>
      </c>
      <c r="B131" t="s">
        <v>44</v>
      </c>
      <c r="C131">
        <v>5</v>
      </c>
      <c r="D131">
        <v>21</v>
      </c>
      <c r="E131">
        <v>105</v>
      </c>
      <c r="F131" s="29">
        <v>45666</v>
      </c>
      <c r="G131" s="29">
        <v>45667</v>
      </c>
      <c r="H131" t="s">
        <v>23</v>
      </c>
      <c r="I131" t="s">
        <v>18</v>
      </c>
      <c r="J131">
        <v>3</v>
      </c>
      <c r="K131" t="s">
        <v>19</v>
      </c>
      <c r="L131" t="s">
        <v>115</v>
      </c>
      <c r="M131">
        <v>1</v>
      </c>
      <c r="N131">
        <v>2</v>
      </c>
      <c r="O131" t="s">
        <v>2563</v>
      </c>
    </row>
    <row r="132" spans="1:15">
      <c r="A132" t="s">
        <v>293</v>
      </c>
      <c r="B132" t="s">
        <v>22</v>
      </c>
      <c r="C132">
        <v>5</v>
      </c>
      <c r="D132">
        <v>97.4</v>
      </c>
      <c r="E132">
        <v>487</v>
      </c>
      <c r="F132" s="29">
        <v>45666</v>
      </c>
      <c r="G132" s="29">
        <v>45670</v>
      </c>
      <c r="H132" t="s">
        <v>27</v>
      </c>
      <c r="I132" t="s">
        <v>70</v>
      </c>
      <c r="J132">
        <v>5</v>
      </c>
      <c r="K132" t="s">
        <v>19</v>
      </c>
      <c r="L132" t="s">
        <v>115</v>
      </c>
      <c r="M132">
        <v>4</v>
      </c>
      <c r="N132">
        <v>2</v>
      </c>
      <c r="O132" t="s">
        <v>2562</v>
      </c>
    </row>
    <row r="133" spans="1:15">
      <c r="A133" t="s">
        <v>273</v>
      </c>
      <c r="B133" t="s">
        <v>54</v>
      </c>
      <c r="C133">
        <v>7</v>
      </c>
      <c r="D133">
        <v>50.8</v>
      </c>
      <c r="E133">
        <v>355.59999999999997</v>
      </c>
      <c r="F133" s="29">
        <v>45665</v>
      </c>
      <c r="G133" s="29">
        <v>45668</v>
      </c>
      <c r="H133" t="s">
        <v>27</v>
      </c>
      <c r="I133" t="s">
        <v>35</v>
      </c>
      <c r="J133">
        <v>4</v>
      </c>
      <c r="K133" t="s">
        <v>19</v>
      </c>
      <c r="L133" t="s">
        <v>115</v>
      </c>
      <c r="M133">
        <v>3</v>
      </c>
      <c r="N133">
        <v>2</v>
      </c>
      <c r="O133" t="s">
        <v>2562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2"/>
  <sheetViews>
    <sheetView topLeftCell="A16" zoomScaleNormal="100" workbookViewId="0">
      <selection activeCell="A20" sqref="A20"/>
    </sheetView>
  </sheetViews>
  <sheetFormatPr defaultRowHeight="13.8"/>
  <cols>
    <col min="1" max="1" width="24.296875" bestFit="1" customWidth="1"/>
    <col min="2" max="2" width="20.5" bestFit="1" customWidth="1"/>
    <col min="3" max="3" width="15.09765625" bestFit="1" customWidth="1"/>
    <col min="4" max="4" width="14.59765625" bestFit="1" customWidth="1"/>
    <col min="5" max="5" width="8.59765625" customWidth="1"/>
    <col min="7" max="7" width="20.5" bestFit="1" customWidth="1"/>
    <col min="8" max="8" width="15.09765625" bestFit="1" customWidth="1"/>
    <col min="11" max="12" width="20.5" bestFit="1" customWidth="1"/>
  </cols>
  <sheetData>
    <row r="1" spans="1:13">
      <c r="A1" t="s">
        <v>2569</v>
      </c>
    </row>
    <row r="2" spans="1:13">
      <c r="F2" t="s">
        <v>2570</v>
      </c>
      <c r="J2" t="s">
        <v>2571</v>
      </c>
    </row>
    <row r="4" spans="1:13">
      <c r="A4" s="13" t="s">
        <v>10</v>
      </c>
      <c r="B4" s="13" t="s">
        <v>11</v>
      </c>
      <c r="C4" t="s">
        <v>2549</v>
      </c>
      <c r="D4" t="s">
        <v>2550</v>
      </c>
      <c r="F4" s="30" t="str">
        <f>A4</f>
        <v>State</v>
      </c>
      <c r="G4" s="30" t="str">
        <f>B4</f>
        <v>County</v>
      </c>
      <c r="H4" s="30" t="str">
        <f>C4</f>
        <v>Sum of Quantity</v>
      </c>
      <c r="J4" s="30" t="str">
        <f>A4</f>
        <v>State</v>
      </c>
      <c r="K4" s="30" t="str">
        <f>B4</f>
        <v>County</v>
      </c>
      <c r="L4" s="30" t="str">
        <f>D4</f>
        <v>Sum of Amount</v>
      </c>
    </row>
    <row r="5" spans="1:13">
      <c r="A5" t="s">
        <v>19</v>
      </c>
      <c r="B5" t="s">
        <v>115</v>
      </c>
      <c r="C5" s="12">
        <v>579</v>
      </c>
      <c r="D5" s="12">
        <v>31884.999999999996</v>
      </c>
      <c r="E5" s="12"/>
      <c r="F5" t="str">
        <f>A5</f>
        <v>California</v>
      </c>
      <c r="G5" t="s">
        <v>115</v>
      </c>
      <c r="H5" s="12">
        <v>579</v>
      </c>
      <c r="I5" s="12"/>
      <c r="J5" s="12" t="str">
        <f>A5</f>
        <v>California</v>
      </c>
      <c r="K5" t="s">
        <v>115</v>
      </c>
      <c r="L5" s="12">
        <v>31884.999999999996</v>
      </c>
      <c r="M5" s="12"/>
    </row>
    <row r="6" spans="1:13">
      <c r="A6" t="s">
        <v>19</v>
      </c>
      <c r="B6" t="s">
        <v>20</v>
      </c>
      <c r="C6" s="12">
        <v>1</v>
      </c>
      <c r="D6" s="12">
        <v>10.9</v>
      </c>
      <c r="E6" s="12"/>
      <c r="F6" t="str">
        <f t="shared" ref="F6:F62" si="0">A6</f>
        <v>California</v>
      </c>
      <c r="G6" t="s">
        <v>20</v>
      </c>
      <c r="H6" s="12">
        <v>1</v>
      </c>
      <c r="I6" s="12"/>
      <c r="J6" s="12" t="str">
        <f t="shared" ref="J6:J62" si="1">A6</f>
        <v>California</v>
      </c>
      <c r="K6" t="s">
        <v>20</v>
      </c>
      <c r="L6" s="12">
        <v>10.9</v>
      </c>
      <c r="M6" s="12"/>
    </row>
    <row r="7" spans="1:13">
      <c r="A7" t="s">
        <v>19</v>
      </c>
      <c r="B7" t="s">
        <v>641</v>
      </c>
      <c r="C7" s="12">
        <v>9</v>
      </c>
      <c r="D7" s="12">
        <v>800.3</v>
      </c>
      <c r="E7" s="12"/>
      <c r="F7" t="str">
        <f t="shared" si="0"/>
        <v>California</v>
      </c>
      <c r="G7" t="s">
        <v>641</v>
      </c>
      <c r="H7" s="12">
        <v>9</v>
      </c>
      <c r="I7" s="12"/>
      <c r="J7" s="12" t="str">
        <f t="shared" si="1"/>
        <v>California</v>
      </c>
      <c r="K7" t="s">
        <v>641</v>
      </c>
      <c r="L7" s="12">
        <v>800.3</v>
      </c>
      <c r="M7" s="12"/>
    </row>
    <row r="8" spans="1:13">
      <c r="A8" t="s">
        <v>19</v>
      </c>
      <c r="B8" t="s">
        <v>967</v>
      </c>
      <c r="C8" s="12">
        <v>35</v>
      </c>
      <c r="D8" s="12">
        <v>1062.5999999999999</v>
      </c>
      <c r="E8" s="12"/>
      <c r="F8" t="str">
        <f t="shared" si="0"/>
        <v>California</v>
      </c>
      <c r="G8" t="s">
        <v>967</v>
      </c>
      <c r="H8" s="12">
        <v>35</v>
      </c>
      <c r="I8" s="12"/>
      <c r="J8" s="12" t="str">
        <f t="shared" si="1"/>
        <v>California</v>
      </c>
      <c r="K8" t="s">
        <v>967</v>
      </c>
      <c r="L8" s="12">
        <v>1062.5999999999999</v>
      </c>
      <c r="M8" s="12"/>
    </row>
    <row r="9" spans="1:13">
      <c r="A9" t="s">
        <v>19</v>
      </c>
      <c r="B9" t="s">
        <v>84</v>
      </c>
      <c r="C9" s="12">
        <v>12</v>
      </c>
      <c r="D9" s="12">
        <v>326.20000000000005</v>
      </c>
      <c r="F9" t="str">
        <f t="shared" si="0"/>
        <v>California</v>
      </c>
      <c r="G9" t="s">
        <v>84</v>
      </c>
      <c r="H9" s="12">
        <v>12</v>
      </c>
      <c r="I9" s="12"/>
      <c r="J9" s="12" t="str">
        <f t="shared" si="1"/>
        <v>California</v>
      </c>
      <c r="K9" t="s">
        <v>84</v>
      </c>
      <c r="L9" s="12">
        <v>326.20000000000005</v>
      </c>
      <c r="M9" s="12"/>
    </row>
    <row r="10" spans="1:13">
      <c r="A10" t="s">
        <v>19</v>
      </c>
      <c r="B10" t="s">
        <v>1383</v>
      </c>
      <c r="C10" s="12">
        <v>4</v>
      </c>
      <c r="D10" s="12">
        <v>167.5</v>
      </c>
      <c r="E10" s="12"/>
      <c r="F10" t="str">
        <f t="shared" si="0"/>
        <v>California</v>
      </c>
      <c r="G10" t="s">
        <v>1383</v>
      </c>
      <c r="H10" s="12">
        <v>4</v>
      </c>
      <c r="I10" s="12"/>
      <c r="J10" s="12" t="str">
        <f t="shared" si="1"/>
        <v>California</v>
      </c>
      <c r="K10" t="s">
        <v>1383</v>
      </c>
      <c r="L10" s="12">
        <v>167.5</v>
      </c>
      <c r="M10" s="12"/>
    </row>
    <row r="11" spans="1:13">
      <c r="A11" t="s">
        <v>19</v>
      </c>
      <c r="B11" t="s">
        <v>24</v>
      </c>
      <c r="C11" s="12">
        <v>341</v>
      </c>
      <c r="D11" s="12">
        <v>16168.7</v>
      </c>
      <c r="E11" s="12"/>
      <c r="F11" t="str">
        <f t="shared" si="0"/>
        <v>California</v>
      </c>
      <c r="G11" t="s">
        <v>24</v>
      </c>
      <c r="H11" s="12">
        <v>341</v>
      </c>
      <c r="I11" s="12"/>
      <c r="J11" s="12" t="str">
        <f t="shared" si="1"/>
        <v>California</v>
      </c>
      <c r="K11" t="s">
        <v>24</v>
      </c>
      <c r="L11" s="12">
        <v>16168.7</v>
      </c>
      <c r="M11" s="12"/>
    </row>
    <row r="12" spans="1:13">
      <c r="A12" t="s">
        <v>19</v>
      </c>
      <c r="B12" t="s">
        <v>2204</v>
      </c>
      <c r="C12" s="12">
        <v>13</v>
      </c>
      <c r="D12" s="12">
        <v>322.40000000000003</v>
      </c>
      <c r="E12" s="12"/>
      <c r="F12" t="str">
        <f t="shared" si="0"/>
        <v>California</v>
      </c>
      <c r="G12" t="s">
        <v>2204</v>
      </c>
      <c r="H12" s="12">
        <v>13</v>
      </c>
      <c r="I12" s="12"/>
      <c r="J12" s="12" t="str">
        <f t="shared" si="1"/>
        <v>California</v>
      </c>
      <c r="K12" t="s">
        <v>2204</v>
      </c>
      <c r="L12" s="12">
        <v>322.40000000000003</v>
      </c>
      <c r="M12" s="12"/>
    </row>
    <row r="13" spans="1:13">
      <c r="A13" t="s">
        <v>19</v>
      </c>
      <c r="B13" t="s">
        <v>437</v>
      </c>
      <c r="C13" s="12">
        <v>31</v>
      </c>
      <c r="D13" s="12">
        <v>2092.8000000000002</v>
      </c>
      <c r="E13" s="12"/>
      <c r="F13" t="str">
        <f t="shared" si="0"/>
        <v>California</v>
      </c>
      <c r="G13" t="s">
        <v>437</v>
      </c>
      <c r="H13" s="12">
        <v>31</v>
      </c>
      <c r="I13" s="12"/>
      <c r="J13" s="12" t="str">
        <f t="shared" si="1"/>
        <v>California</v>
      </c>
      <c r="K13" t="s">
        <v>437</v>
      </c>
      <c r="L13" s="12">
        <v>2092.8000000000002</v>
      </c>
      <c r="M13" s="12"/>
    </row>
    <row r="14" spans="1:13">
      <c r="A14" t="s">
        <v>19</v>
      </c>
      <c r="B14" t="s">
        <v>28</v>
      </c>
      <c r="C14" s="12">
        <v>279</v>
      </c>
      <c r="D14" s="12">
        <v>12662.500000000002</v>
      </c>
      <c r="F14" t="str">
        <f t="shared" si="0"/>
        <v>California</v>
      </c>
      <c r="G14" t="s">
        <v>28</v>
      </c>
      <c r="H14" s="12">
        <v>279</v>
      </c>
      <c r="I14" s="12"/>
      <c r="J14" s="12" t="str">
        <f t="shared" si="1"/>
        <v>California</v>
      </c>
      <c r="K14" t="s">
        <v>28</v>
      </c>
      <c r="L14" s="12">
        <v>12662.500000000002</v>
      </c>
      <c r="M14" s="12"/>
    </row>
    <row r="15" spans="1:13">
      <c r="A15" t="s">
        <v>19</v>
      </c>
      <c r="B15" t="s">
        <v>208</v>
      </c>
      <c r="C15" s="12">
        <v>9</v>
      </c>
      <c r="D15" s="12">
        <v>343.2</v>
      </c>
      <c r="E15" s="12"/>
      <c r="F15" t="str">
        <f t="shared" si="0"/>
        <v>California</v>
      </c>
      <c r="G15" t="s">
        <v>208</v>
      </c>
      <c r="H15" s="12">
        <v>9</v>
      </c>
      <c r="I15" s="12"/>
      <c r="J15" s="12" t="str">
        <f t="shared" si="1"/>
        <v>California</v>
      </c>
      <c r="K15" t="s">
        <v>208</v>
      </c>
      <c r="L15" s="12">
        <v>343.2</v>
      </c>
      <c r="M15" s="12"/>
    </row>
    <row r="16" spans="1:13">
      <c r="A16" t="s">
        <v>19</v>
      </c>
      <c r="B16" t="s">
        <v>587</v>
      </c>
      <c r="C16" s="12">
        <v>49</v>
      </c>
      <c r="D16" s="12">
        <v>2188.2999999999997</v>
      </c>
      <c r="E16" s="12"/>
      <c r="F16" t="str">
        <f t="shared" si="0"/>
        <v>California</v>
      </c>
      <c r="G16" t="s">
        <v>587</v>
      </c>
      <c r="H16" s="12">
        <v>49</v>
      </c>
      <c r="I16" s="12"/>
      <c r="J16" s="12" t="str">
        <f t="shared" si="1"/>
        <v>California</v>
      </c>
      <c r="K16" t="s">
        <v>587</v>
      </c>
      <c r="L16" s="12">
        <v>2188.2999999999997</v>
      </c>
      <c r="M16" s="12"/>
    </row>
    <row r="17" spans="1:13">
      <c r="A17" t="s">
        <v>19</v>
      </c>
      <c r="B17" t="s">
        <v>331</v>
      </c>
      <c r="C17" s="12">
        <v>59</v>
      </c>
      <c r="D17" s="12">
        <v>2661.5999999999995</v>
      </c>
      <c r="E17" s="12"/>
      <c r="F17" t="str">
        <f t="shared" si="0"/>
        <v>California</v>
      </c>
      <c r="G17" t="s">
        <v>331</v>
      </c>
      <c r="H17" s="12">
        <v>59</v>
      </c>
      <c r="I17" s="12"/>
      <c r="J17" s="12" t="str">
        <f t="shared" si="1"/>
        <v>California</v>
      </c>
      <c r="K17" t="s">
        <v>331</v>
      </c>
      <c r="L17" s="12">
        <v>2661.5999999999995</v>
      </c>
      <c r="M17" s="12"/>
    </row>
    <row r="18" spans="1:13">
      <c r="A18" t="s">
        <v>19</v>
      </c>
      <c r="B18" t="s">
        <v>86</v>
      </c>
      <c r="C18" s="12">
        <v>8</v>
      </c>
      <c r="D18" s="12">
        <v>887.5</v>
      </c>
      <c r="E18" s="12"/>
      <c r="F18" t="str">
        <f t="shared" si="0"/>
        <v>California</v>
      </c>
      <c r="G18" t="s">
        <v>86</v>
      </c>
      <c r="H18" s="12">
        <v>8</v>
      </c>
      <c r="I18" s="12"/>
      <c r="J18" s="12" t="str">
        <f t="shared" si="1"/>
        <v>California</v>
      </c>
      <c r="K18" t="s">
        <v>86</v>
      </c>
      <c r="L18" s="12">
        <v>887.5</v>
      </c>
      <c r="M18" s="12"/>
    </row>
    <row r="19" spans="1:13">
      <c r="A19" t="s">
        <v>19</v>
      </c>
      <c r="B19" t="s">
        <v>147</v>
      </c>
      <c r="C19" s="12">
        <v>222</v>
      </c>
      <c r="D19" s="12">
        <v>11354.199999999993</v>
      </c>
      <c r="F19" t="str">
        <f t="shared" si="0"/>
        <v>California</v>
      </c>
      <c r="G19" t="s">
        <v>147</v>
      </c>
      <c r="H19" s="12">
        <v>222</v>
      </c>
      <c r="I19" s="12"/>
      <c r="J19" s="12" t="str">
        <f t="shared" si="1"/>
        <v>California</v>
      </c>
      <c r="K19" t="s">
        <v>147</v>
      </c>
      <c r="L19" s="12">
        <v>11354.199999999993</v>
      </c>
      <c r="M19" s="12"/>
    </row>
    <row r="20" spans="1:13">
      <c r="A20" t="s">
        <v>19</v>
      </c>
      <c r="B20" t="s">
        <v>334</v>
      </c>
      <c r="C20" s="12">
        <v>36</v>
      </c>
      <c r="D20" s="12">
        <v>1558.4</v>
      </c>
      <c r="E20" s="12"/>
      <c r="F20" t="str">
        <f t="shared" si="0"/>
        <v>California</v>
      </c>
      <c r="G20" t="s">
        <v>334</v>
      </c>
      <c r="H20" s="12">
        <v>36</v>
      </c>
      <c r="I20" s="12"/>
      <c r="J20" s="12" t="str">
        <f t="shared" si="1"/>
        <v>California</v>
      </c>
      <c r="K20" t="s">
        <v>334</v>
      </c>
      <c r="L20" s="12">
        <v>1558.4</v>
      </c>
      <c r="M20" s="12"/>
    </row>
    <row r="21" spans="1:13">
      <c r="A21" t="s">
        <v>19</v>
      </c>
      <c r="B21" t="s">
        <v>949</v>
      </c>
      <c r="C21" s="12">
        <v>30</v>
      </c>
      <c r="D21" s="12">
        <v>2223.9</v>
      </c>
      <c r="E21" s="12"/>
      <c r="F21" t="str">
        <f t="shared" si="0"/>
        <v>California</v>
      </c>
      <c r="G21" t="s">
        <v>949</v>
      </c>
      <c r="H21" s="12">
        <v>30</v>
      </c>
      <c r="I21" s="12"/>
      <c r="J21" s="12" t="str">
        <f t="shared" si="1"/>
        <v>California</v>
      </c>
      <c r="K21" t="s">
        <v>949</v>
      </c>
      <c r="L21" s="12">
        <v>2223.9</v>
      </c>
      <c r="M21" s="12"/>
    </row>
    <row r="22" spans="1:13">
      <c r="A22" t="s">
        <v>19</v>
      </c>
      <c r="B22" t="s">
        <v>1426</v>
      </c>
      <c r="C22" s="12">
        <v>1</v>
      </c>
      <c r="D22" s="12">
        <v>26.2</v>
      </c>
      <c r="E22" s="12"/>
      <c r="F22" t="str">
        <f t="shared" si="0"/>
        <v>California</v>
      </c>
      <c r="G22" t="s">
        <v>1426</v>
      </c>
      <c r="H22" s="12">
        <v>1</v>
      </c>
      <c r="I22" s="12"/>
      <c r="J22" s="12" t="str">
        <f t="shared" si="1"/>
        <v>California</v>
      </c>
      <c r="K22" t="s">
        <v>1426</v>
      </c>
      <c r="L22" s="12">
        <v>26.2</v>
      </c>
      <c r="M22" s="12"/>
    </row>
    <row r="23" spans="1:13">
      <c r="A23" t="s">
        <v>19</v>
      </c>
      <c r="B23" t="s">
        <v>33</v>
      </c>
      <c r="C23" s="12">
        <v>3991</v>
      </c>
      <c r="D23" s="12">
        <v>215551.19999999981</v>
      </c>
      <c r="E23" s="12"/>
      <c r="F23" t="str">
        <f t="shared" si="0"/>
        <v>California</v>
      </c>
      <c r="G23" t="s">
        <v>33</v>
      </c>
      <c r="H23" s="12">
        <v>3991</v>
      </c>
      <c r="I23" s="12"/>
      <c r="J23" s="12" t="str">
        <f t="shared" si="1"/>
        <v>California</v>
      </c>
      <c r="K23" t="s">
        <v>33</v>
      </c>
      <c r="L23" s="12">
        <v>215551.19999999981</v>
      </c>
      <c r="M23" s="12"/>
    </row>
    <row r="24" spans="1:13">
      <c r="A24" t="s">
        <v>19</v>
      </c>
      <c r="B24" t="s">
        <v>364</v>
      </c>
      <c r="C24" s="12">
        <v>45</v>
      </c>
      <c r="D24" s="12">
        <v>2687.3999999999996</v>
      </c>
      <c r="F24" t="str">
        <f t="shared" si="0"/>
        <v>California</v>
      </c>
      <c r="G24" t="s">
        <v>364</v>
      </c>
      <c r="H24" s="12">
        <v>45</v>
      </c>
      <c r="I24" s="12"/>
      <c r="J24" s="12" t="str">
        <f t="shared" si="1"/>
        <v>California</v>
      </c>
      <c r="K24" t="s">
        <v>364</v>
      </c>
      <c r="L24" s="12">
        <v>2687.3999999999996</v>
      </c>
      <c r="M24" s="12"/>
    </row>
    <row r="25" spans="1:13">
      <c r="A25" t="s">
        <v>19</v>
      </c>
      <c r="B25" t="s">
        <v>545</v>
      </c>
      <c r="C25" s="12">
        <v>39</v>
      </c>
      <c r="D25" s="12">
        <v>1463.3000000000002</v>
      </c>
      <c r="E25" s="12"/>
      <c r="F25" t="str">
        <f t="shared" si="0"/>
        <v>California</v>
      </c>
      <c r="G25" t="s">
        <v>545</v>
      </c>
      <c r="H25" s="12">
        <v>39</v>
      </c>
      <c r="I25" s="12"/>
      <c r="J25" s="12" t="str">
        <f t="shared" si="1"/>
        <v>California</v>
      </c>
      <c r="K25" t="s">
        <v>545</v>
      </c>
      <c r="L25" s="12">
        <v>1463.3000000000002</v>
      </c>
      <c r="M25" s="12"/>
    </row>
    <row r="26" spans="1:13">
      <c r="A26" t="s">
        <v>19</v>
      </c>
      <c r="B26" t="s">
        <v>416</v>
      </c>
      <c r="C26" s="12">
        <v>6</v>
      </c>
      <c r="D26" s="12">
        <v>445.79999999999995</v>
      </c>
      <c r="E26" s="12"/>
      <c r="F26" t="str">
        <f t="shared" si="0"/>
        <v>California</v>
      </c>
      <c r="G26" t="s">
        <v>416</v>
      </c>
      <c r="H26" s="12">
        <v>6</v>
      </c>
      <c r="I26" s="12"/>
      <c r="J26" s="12" t="str">
        <f t="shared" si="1"/>
        <v>California</v>
      </c>
      <c r="K26" t="s">
        <v>416</v>
      </c>
      <c r="L26" s="12">
        <v>445.79999999999995</v>
      </c>
      <c r="M26" s="12"/>
    </row>
    <row r="27" spans="1:13">
      <c r="A27" t="s">
        <v>19</v>
      </c>
      <c r="B27" t="s">
        <v>258</v>
      </c>
      <c r="C27" s="12">
        <v>9</v>
      </c>
      <c r="D27" s="12">
        <v>273.59999999999997</v>
      </c>
      <c r="E27" s="12"/>
      <c r="F27" t="str">
        <f t="shared" si="0"/>
        <v>California</v>
      </c>
      <c r="G27" t="s">
        <v>258</v>
      </c>
      <c r="H27" s="12">
        <v>9</v>
      </c>
      <c r="I27" s="12"/>
      <c r="J27" s="12" t="str">
        <f t="shared" si="1"/>
        <v>California</v>
      </c>
      <c r="K27" t="s">
        <v>258</v>
      </c>
      <c r="L27" s="12">
        <v>273.59999999999997</v>
      </c>
      <c r="M27" s="12"/>
    </row>
    <row r="28" spans="1:13">
      <c r="A28" t="s">
        <v>19</v>
      </c>
      <c r="B28" t="s">
        <v>186</v>
      </c>
      <c r="C28" s="12">
        <v>60</v>
      </c>
      <c r="D28" s="12">
        <v>2690.4</v>
      </c>
      <c r="E28" s="12"/>
      <c r="F28" t="str">
        <f t="shared" si="0"/>
        <v>California</v>
      </c>
      <c r="G28" t="s">
        <v>186</v>
      </c>
      <c r="H28" s="12">
        <v>60</v>
      </c>
      <c r="I28" s="12"/>
      <c r="J28" s="12" t="str">
        <f t="shared" si="1"/>
        <v>California</v>
      </c>
      <c r="K28" t="s">
        <v>186</v>
      </c>
      <c r="L28" s="12">
        <v>2690.4</v>
      </c>
      <c r="M28" s="12"/>
    </row>
    <row r="29" spans="1:13">
      <c r="A29" t="s">
        <v>19</v>
      </c>
      <c r="B29" t="s">
        <v>392</v>
      </c>
      <c r="C29" s="12">
        <v>2</v>
      </c>
      <c r="D29" s="12">
        <v>28.4</v>
      </c>
      <c r="F29" t="str">
        <f t="shared" si="0"/>
        <v>California</v>
      </c>
      <c r="G29" t="s">
        <v>392</v>
      </c>
      <c r="H29" s="12">
        <v>2</v>
      </c>
      <c r="I29" s="12"/>
      <c r="J29" s="12" t="str">
        <f t="shared" si="1"/>
        <v>California</v>
      </c>
      <c r="K29" t="s">
        <v>392</v>
      </c>
      <c r="L29" s="12">
        <v>28.4</v>
      </c>
      <c r="M29" s="12"/>
    </row>
    <row r="30" spans="1:13">
      <c r="A30" t="s">
        <v>19</v>
      </c>
      <c r="B30" t="s">
        <v>670</v>
      </c>
      <c r="C30" s="12">
        <v>4</v>
      </c>
      <c r="D30" s="12">
        <v>204.8</v>
      </c>
      <c r="E30" s="12"/>
      <c r="F30" t="str">
        <f t="shared" si="0"/>
        <v>California</v>
      </c>
      <c r="G30" t="s">
        <v>670</v>
      </c>
      <c r="H30" s="12">
        <v>4</v>
      </c>
      <c r="I30" s="12"/>
      <c r="J30" s="12" t="str">
        <f t="shared" si="1"/>
        <v>California</v>
      </c>
      <c r="K30" t="s">
        <v>670</v>
      </c>
      <c r="L30" s="12">
        <v>204.8</v>
      </c>
      <c r="M30" s="12"/>
    </row>
    <row r="31" spans="1:13">
      <c r="A31" t="s">
        <v>19</v>
      </c>
      <c r="B31" t="s">
        <v>802</v>
      </c>
      <c r="C31" s="12">
        <v>31</v>
      </c>
      <c r="D31" s="12">
        <v>1607.8999999999999</v>
      </c>
      <c r="E31" s="12"/>
      <c r="F31" t="str">
        <f t="shared" si="0"/>
        <v>California</v>
      </c>
      <c r="G31" t="s">
        <v>802</v>
      </c>
      <c r="H31" s="12">
        <v>31</v>
      </c>
      <c r="I31" s="12"/>
      <c r="J31" s="12" t="str">
        <f t="shared" si="1"/>
        <v>California</v>
      </c>
      <c r="K31" t="s">
        <v>802</v>
      </c>
      <c r="L31" s="12">
        <v>1607.8999999999999</v>
      </c>
      <c r="M31" s="12"/>
    </row>
    <row r="32" spans="1:13">
      <c r="A32" t="s">
        <v>19</v>
      </c>
      <c r="B32" t="s">
        <v>98</v>
      </c>
      <c r="C32" s="12">
        <v>88</v>
      </c>
      <c r="D32" s="12">
        <v>6444.9</v>
      </c>
      <c r="E32" s="12"/>
      <c r="F32" t="str">
        <f t="shared" si="0"/>
        <v>California</v>
      </c>
      <c r="G32" t="s">
        <v>98</v>
      </c>
      <c r="H32" s="12">
        <v>88</v>
      </c>
      <c r="I32" s="12"/>
      <c r="J32" s="12" t="str">
        <f t="shared" si="1"/>
        <v>California</v>
      </c>
      <c r="K32" t="s">
        <v>98</v>
      </c>
      <c r="L32" s="12">
        <v>6444.9</v>
      </c>
      <c r="M32" s="12"/>
    </row>
    <row r="33" spans="1:13">
      <c r="A33" t="s">
        <v>19</v>
      </c>
      <c r="B33" t="s">
        <v>49</v>
      </c>
      <c r="C33" s="12">
        <v>25</v>
      </c>
      <c r="D33" s="12">
        <v>1809.3</v>
      </c>
      <c r="E33" s="12"/>
      <c r="F33" t="str">
        <f t="shared" si="0"/>
        <v>California</v>
      </c>
      <c r="G33" t="s">
        <v>49</v>
      </c>
      <c r="H33" s="12">
        <v>25</v>
      </c>
      <c r="I33" s="12"/>
      <c r="J33" s="12" t="str">
        <f t="shared" si="1"/>
        <v>California</v>
      </c>
      <c r="K33" t="s">
        <v>49</v>
      </c>
      <c r="L33" s="12">
        <v>1809.3</v>
      </c>
      <c r="M33" s="12"/>
    </row>
    <row r="34" spans="1:13">
      <c r="A34" t="s">
        <v>19</v>
      </c>
      <c r="B34" t="s">
        <v>188</v>
      </c>
      <c r="C34" s="12">
        <v>178</v>
      </c>
      <c r="D34" s="12">
        <v>9680.399999999996</v>
      </c>
      <c r="F34" t="str">
        <f t="shared" si="0"/>
        <v>California</v>
      </c>
      <c r="G34" t="s">
        <v>188</v>
      </c>
      <c r="H34" s="12">
        <v>178</v>
      </c>
      <c r="I34" s="12"/>
      <c r="J34" s="12" t="str">
        <f t="shared" si="1"/>
        <v>California</v>
      </c>
      <c r="K34" t="s">
        <v>188</v>
      </c>
      <c r="L34" s="12">
        <v>9680.399999999996</v>
      </c>
      <c r="M34" s="12"/>
    </row>
    <row r="35" spans="1:13">
      <c r="A35" t="s">
        <v>19</v>
      </c>
      <c r="B35" t="s">
        <v>52</v>
      </c>
      <c r="C35" s="12">
        <v>141</v>
      </c>
      <c r="D35" s="12">
        <v>9414.7999999999993</v>
      </c>
      <c r="E35" s="12"/>
      <c r="F35" t="str">
        <f t="shared" si="0"/>
        <v>California</v>
      </c>
      <c r="G35" t="s">
        <v>52</v>
      </c>
      <c r="H35" s="12">
        <v>141</v>
      </c>
      <c r="I35" s="12"/>
      <c r="J35" s="12" t="str">
        <f t="shared" si="1"/>
        <v>California</v>
      </c>
      <c r="K35" t="s">
        <v>52</v>
      </c>
      <c r="L35" s="12">
        <v>9414.7999999999993</v>
      </c>
      <c r="M35" s="12"/>
    </row>
    <row r="36" spans="1:13">
      <c r="A36" t="s">
        <v>19</v>
      </c>
      <c r="B36" t="s">
        <v>338</v>
      </c>
      <c r="C36" s="12">
        <v>6</v>
      </c>
      <c r="D36" s="12">
        <v>206.1</v>
      </c>
      <c r="E36" s="12"/>
      <c r="F36" t="str">
        <f t="shared" si="0"/>
        <v>California</v>
      </c>
      <c r="G36" t="s">
        <v>338</v>
      </c>
      <c r="H36" s="12">
        <v>6</v>
      </c>
      <c r="I36" s="12"/>
      <c r="J36" s="12" t="str">
        <f t="shared" si="1"/>
        <v>California</v>
      </c>
      <c r="K36" t="s">
        <v>338</v>
      </c>
      <c r="L36" s="12">
        <v>206.1</v>
      </c>
      <c r="M36" s="12"/>
    </row>
    <row r="37" spans="1:13">
      <c r="A37" t="s">
        <v>19</v>
      </c>
      <c r="B37" t="s">
        <v>158</v>
      </c>
      <c r="C37" s="12">
        <v>178</v>
      </c>
      <c r="D37" s="12">
        <v>7691.3</v>
      </c>
      <c r="E37" s="12"/>
      <c r="F37" t="str">
        <f t="shared" si="0"/>
        <v>California</v>
      </c>
      <c r="G37" t="s">
        <v>158</v>
      </c>
      <c r="H37" s="12">
        <v>178</v>
      </c>
      <c r="I37" s="12"/>
      <c r="J37" s="12" t="str">
        <f t="shared" si="1"/>
        <v>California</v>
      </c>
      <c r="K37" t="s">
        <v>158</v>
      </c>
      <c r="L37" s="12">
        <v>7691.3</v>
      </c>
      <c r="M37" s="12"/>
    </row>
    <row r="38" spans="1:13">
      <c r="A38" t="s">
        <v>19</v>
      </c>
      <c r="B38" t="s">
        <v>55</v>
      </c>
      <c r="C38" s="12">
        <v>699</v>
      </c>
      <c r="D38" s="12">
        <v>37784.900000000016</v>
      </c>
      <c r="E38" s="12"/>
      <c r="F38" t="str">
        <f t="shared" si="0"/>
        <v>California</v>
      </c>
      <c r="G38" t="s">
        <v>55</v>
      </c>
      <c r="H38" s="12">
        <v>699</v>
      </c>
      <c r="I38" s="12"/>
      <c r="J38" s="12" t="str">
        <f t="shared" si="1"/>
        <v>California</v>
      </c>
      <c r="K38" t="s">
        <v>55</v>
      </c>
      <c r="L38" s="12">
        <v>37784.900000000016</v>
      </c>
      <c r="M38" s="12"/>
    </row>
    <row r="39" spans="1:13">
      <c r="A39" t="s">
        <v>19</v>
      </c>
      <c r="B39" t="s">
        <v>342</v>
      </c>
      <c r="C39" s="12">
        <v>23</v>
      </c>
      <c r="D39" s="12">
        <v>1129.7</v>
      </c>
      <c r="F39" t="str">
        <f t="shared" si="0"/>
        <v>California</v>
      </c>
      <c r="G39" t="s">
        <v>342</v>
      </c>
      <c r="H39" s="12">
        <v>23</v>
      </c>
      <c r="I39" s="12"/>
      <c r="J39" s="12" t="str">
        <f t="shared" si="1"/>
        <v>California</v>
      </c>
      <c r="K39" t="s">
        <v>342</v>
      </c>
      <c r="L39" s="12">
        <v>1129.7</v>
      </c>
      <c r="M39" s="12"/>
    </row>
    <row r="40" spans="1:13">
      <c r="A40" t="s">
        <v>19</v>
      </c>
      <c r="B40" t="s">
        <v>59</v>
      </c>
      <c r="C40" s="12">
        <v>356</v>
      </c>
      <c r="D40" s="12">
        <v>20988.9</v>
      </c>
      <c r="E40" s="12"/>
      <c r="F40" t="str">
        <f t="shared" si="0"/>
        <v>California</v>
      </c>
      <c r="G40" t="s">
        <v>59</v>
      </c>
      <c r="H40" s="12">
        <v>356</v>
      </c>
      <c r="I40" s="12"/>
      <c r="J40" s="12" t="str">
        <f t="shared" si="1"/>
        <v>California</v>
      </c>
      <c r="K40" t="s">
        <v>59</v>
      </c>
      <c r="L40" s="12">
        <v>20988.9</v>
      </c>
      <c r="M40" s="12"/>
    </row>
    <row r="41" spans="1:13">
      <c r="A41" t="s">
        <v>19</v>
      </c>
      <c r="B41" t="s">
        <v>62</v>
      </c>
      <c r="C41" s="12">
        <v>1768</v>
      </c>
      <c r="D41" s="12">
        <v>98367.099999999977</v>
      </c>
      <c r="E41" s="12"/>
      <c r="F41" t="str">
        <f t="shared" si="0"/>
        <v>California</v>
      </c>
      <c r="G41" t="s">
        <v>62</v>
      </c>
      <c r="H41" s="12">
        <v>1768</v>
      </c>
      <c r="I41" s="12"/>
      <c r="J41" s="12" t="str">
        <f t="shared" si="1"/>
        <v>California</v>
      </c>
      <c r="K41" t="s">
        <v>62</v>
      </c>
      <c r="L41" s="12">
        <v>98367.099999999977</v>
      </c>
      <c r="M41" s="12"/>
    </row>
    <row r="42" spans="1:13">
      <c r="A42" t="s">
        <v>19</v>
      </c>
      <c r="B42" t="s">
        <v>103</v>
      </c>
      <c r="C42" s="12">
        <v>307</v>
      </c>
      <c r="D42" s="12">
        <v>21911.9</v>
      </c>
      <c r="E42" s="12"/>
      <c r="F42" t="str">
        <f t="shared" si="0"/>
        <v>California</v>
      </c>
      <c r="G42" t="s">
        <v>103</v>
      </c>
      <c r="H42" s="12">
        <v>307</v>
      </c>
      <c r="I42" s="12"/>
      <c r="J42" s="12" t="str">
        <f t="shared" si="1"/>
        <v>California</v>
      </c>
      <c r="K42" t="s">
        <v>103</v>
      </c>
      <c r="L42" s="12">
        <v>21911.9</v>
      </c>
      <c r="M42" s="12"/>
    </row>
    <row r="43" spans="1:13">
      <c r="A43" t="s">
        <v>19</v>
      </c>
      <c r="B43" t="s">
        <v>201</v>
      </c>
      <c r="C43" s="12">
        <v>117</v>
      </c>
      <c r="D43" s="12">
        <v>5441.2</v>
      </c>
      <c r="E43" s="12"/>
      <c r="F43" t="str">
        <f t="shared" si="0"/>
        <v>California</v>
      </c>
      <c r="G43" t="s">
        <v>201</v>
      </c>
      <c r="H43" s="12">
        <v>117</v>
      </c>
      <c r="I43" s="12"/>
      <c r="J43" s="12" t="str">
        <f t="shared" si="1"/>
        <v>California</v>
      </c>
      <c r="K43" t="s">
        <v>201</v>
      </c>
      <c r="L43" s="12">
        <v>5441.2</v>
      </c>
      <c r="M43" s="12"/>
    </row>
    <row r="44" spans="1:13">
      <c r="A44" t="s">
        <v>19</v>
      </c>
      <c r="B44" t="s">
        <v>429</v>
      </c>
      <c r="C44" s="12">
        <v>13</v>
      </c>
      <c r="D44" s="12">
        <v>392.8</v>
      </c>
      <c r="F44" t="str">
        <f t="shared" si="0"/>
        <v>California</v>
      </c>
      <c r="G44" t="s">
        <v>429</v>
      </c>
      <c r="H44" s="12">
        <v>13</v>
      </c>
      <c r="I44" s="12"/>
      <c r="J44" s="12" t="str">
        <f t="shared" si="1"/>
        <v>California</v>
      </c>
      <c r="K44" t="s">
        <v>429</v>
      </c>
      <c r="L44" s="12">
        <v>392.8</v>
      </c>
      <c r="M44" s="12"/>
    </row>
    <row r="45" spans="1:13">
      <c r="A45" t="s">
        <v>19</v>
      </c>
      <c r="B45" t="s">
        <v>72</v>
      </c>
      <c r="C45" s="12">
        <v>364</v>
      </c>
      <c r="D45" s="12">
        <v>16172.000000000005</v>
      </c>
      <c r="E45" s="12"/>
      <c r="F45" t="str">
        <f t="shared" si="0"/>
        <v>California</v>
      </c>
      <c r="G45" t="s">
        <v>72</v>
      </c>
      <c r="H45" s="12">
        <v>364</v>
      </c>
      <c r="I45" s="12"/>
      <c r="J45" s="12" t="str">
        <f t="shared" si="1"/>
        <v>California</v>
      </c>
      <c r="K45" t="s">
        <v>72</v>
      </c>
      <c r="L45" s="12">
        <v>16172.000000000005</v>
      </c>
      <c r="M45" s="12"/>
    </row>
    <row r="46" spans="1:13">
      <c r="A46" t="s">
        <v>19</v>
      </c>
      <c r="B46" t="s">
        <v>74</v>
      </c>
      <c r="C46" s="12">
        <v>95</v>
      </c>
      <c r="D46" s="12">
        <v>4334.9999999999991</v>
      </c>
      <c r="E46" s="12"/>
      <c r="F46" t="str">
        <f t="shared" si="0"/>
        <v>California</v>
      </c>
      <c r="G46" t="s">
        <v>74</v>
      </c>
      <c r="H46" s="12">
        <v>95</v>
      </c>
      <c r="I46" s="12"/>
      <c r="J46" s="12" t="str">
        <f t="shared" si="1"/>
        <v>California</v>
      </c>
      <c r="K46" t="s">
        <v>74</v>
      </c>
      <c r="L46" s="12">
        <v>4334.9999999999991</v>
      </c>
      <c r="M46" s="12"/>
    </row>
    <row r="47" spans="1:13">
      <c r="A47" t="s">
        <v>19</v>
      </c>
      <c r="B47" t="s">
        <v>77</v>
      </c>
      <c r="C47" s="12">
        <v>737</v>
      </c>
      <c r="D47" s="12">
        <v>37449.000000000007</v>
      </c>
      <c r="E47" s="12"/>
      <c r="F47" t="str">
        <f t="shared" si="0"/>
        <v>California</v>
      </c>
      <c r="G47" t="s">
        <v>77</v>
      </c>
      <c r="H47" s="12">
        <v>737</v>
      </c>
      <c r="I47" s="12"/>
      <c r="J47" s="12" t="str">
        <f t="shared" si="1"/>
        <v>California</v>
      </c>
      <c r="K47" t="s">
        <v>77</v>
      </c>
      <c r="L47" s="12">
        <v>37449.000000000007</v>
      </c>
      <c r="M47" s="12"/>
    </row>
    <row r="48" spans="1:13">
      <c r="A48" t="s">
        <v>19</v>
      </c>
      <c r="B48" t="s">
        <v>309</v>
      </c>
      <c r="C48" s="12">
        <v>39</v>
      </c>
      <c r="D48" s="12">
        <v>2447.5</v>
      </c>
      <c r="E48" s="12"/>
      <c r="F48" t="str">
        <f t="shared" si="0"/>
        <v>California</v>
      </c>
      <c r="G48" t="s">
        <v>309</v>
      </c>
      <c r="H48" s="12">
        <v>39</v>
      </c>
      <c r="I48" s="12"/>
      <c r="J48" s="12" t="str">
        <f t="shared" si="1"/>
        <v>California</v>
      </c>
      <c r="K48" t="s">
        <v>309</v>
      </c>
      <c r="L48" s="12">
        <v>2447.5</v>
      </c>
      <c r="M48" s="12"/>
    </row>
    <row r="49" spans="1:13">
      <c r="A49" t="s">
        <v>19</v>
      </c>
      <c r="B49" t="s">
        <v>1116</v>
      </c>
      <c r="C49" s="12">
        <v>56</v>
      </c>
      <c r="D49" s="12">
        <v>3391.1</v>
      </c>
      <c r="F49" t="str">
        <f t="shared" si="0"/>
        <v>California</v>
      </c>
      <c r="G49" t="s">
        <v>1116</v>
      </c>
      <c r="H49" s="12">
        <v>56</v>
      </c>
      <c r="I49" s="12"/>
      <c r="J49" s="12" t="str">
        <f t="shared" si="1"/>
        <v>California</v>
      </c>
      <c r="K49" t="s">
        <v>1116</v>
      </c>
      <c r="L49" s="12">
        <v>3391.1</v>
      </c>
      <c r="M49" s="12"/>
    </row>
    <row r="50" spans="1:13">
      <c r="A50" t="s">
        <v>19</v>
      </c>
      <c r="B50" t="s">
        <v>700</v>
      </c>
      <c r="C50" s="12">
        <v>2</v>
      </c>
      <c r="D50" s="12">
        <v>30.8</v>
      </c>
      <c r="E50" s="12"/>
      <c r="F50" t="str">
        <f t="shared" si="0"/>
        <v>California</v>
      </c>
      <c r="G50" t="s">
        <v>700</v>
      </c>
      <c r="H50" s="12">
        <v>2</v>
      </c>
      <c r="I50" s="12"/>
      <c r="J50" s="12" t="str">
        <f t="shared" si="1"/>
        <v>California</v>
      </c>
      <c r="K50" t="s">
        <v>700</v>
      </c>
      <c r="L50" s="12">
        <v>30.8</v>
      </c>
      <c r="M50" s="12"/>
    </row>
    <row r="51" spans="1:13">
      <c r="A51" t="s">
        <v>19</v>
      </c>
      <c r="B51" t="s">
        <v>268</v>
      </c>
      <c r="C51" s="12">
        <v>8</v>
      </c>
      <c r="D51" s="12">
        <v>332.3</v>
      </c>
      <c r="E51" s="12"/>
      <c r="F51" t="str">
        <f t="shared" si="0"/>
        <v>California</v>
      </c>
      <c r="G51" t="s">
        <v>268</v>
      </c>
      <c r="H51" s="12">
        <v>8</v>
      </c>
      <c r="I51" s="12"/>
      <c r="J51" s="12" t="str">
        <f t="shared" si="1"/>
        <v>California</v>
      </c>
      <c r="K51" t="s">
        <v>268</v>
      </c>
      <c r="L51" s="12">
        <v>332.3</v>
      </c>
      <c r="M51" s="12"/>
    </row>
    <row r="52" spans="1:13">
      <c r="A52" t="s">
        <v>19</v>
      </c>
      <c r="B52" t="s">
        <v>377</v>
      </c>
      <c r="C52" s="12">
        <v>52</v>
      </c>
      <c r="D52" s="12">
        <v>3175.9999999999995</v>
      </c>
      <c r="E52" s="12"/>
      <c r="F52" t="str">
        <f t="shared" si="0"/>
        <v>California</v>
      </c>
      <c r="G52" t="s">
        <v>377</v>
      </c>
      <c r="H52" s="12">
        <v>52</v>
      </c>
      <c r="I52" s="12"/>
      <c r="J52" s="12" t="str">
        <f t="shared" si="1"/>
        <v>California</v>
      </c>
      <c r="K52" t="s">
        <v>377</v>
      </c>
      <c r="L52" s="12">
        <v>3175.9999999999995</v>
      </c>
      <c r="M52" s="12"/>
    </row>
    <row r="53" spans="1:13">
      <c r="A53" t="s">
        <v>19</v>
      </c>
      <c r="B53" t="s">
        <v>108</v>
      </c>
      <c r="C53" s="12">
        <v>295</v>
      </c>
      <c r="D53" s="12">
        <v>20939.600000000002</v>
      </c>
      <c r="E53" s="12"/>
      <c r="F53" t="str">
        <f t="shared" si="0"/>
        <v>California</v>
      </c>
      <c r="G53" t="s">
        <v>108</v>
      </c>
      <c r="H53" s="12">
        <v>295</v>
      </c>
      <c r="I53" s="12"/>
      <c r="J53" s="12" t="str">
        <f t="shared" si="1"/>
        <v>California</v>
      </c>
      <c r="K53" t="s">
        <v>108</v>
      </c>
      <c r="L53" s="12">
        <v>20939.600000000002</v>
      </c>
      <c r="M53" s="12"/>
    </row>
    <row r="54" spans="1:13">
      <c r="A54" t="s">
        <v>19</v>
      </c>
      <c r="B54" t="s">
        <v>110</v>
      </c>
      <c r="C54" s="12">
        <v>195</v>
      </c>
      <c r="D54" s="12">
        <v>10185.899999999996</v>
      </c>
      <c r="F54" t="str">
        <f t="shared" si="0"/>
        <v>California</v>
      </c>
      <c r="G54" t="s">
        <v>110</v>
      </c>
      <c r="H54" s="12">
        <v>195</v>
      </c>
      <c r="I54" s="12"/>
      <c r="J54" s="12" t="str">
        <f t="shared" si="1"/>
        <v>California</v>
      </c>
      <c r="K54" t="s">
        <v>110</v>
      </c>
      <c r="L54" s="12">
        <v>10185.899999999996</v>
      </c>
      <c r="M54" s="12"/>
    </row>
    <row r="55" spans="1:13">
      <c r="A55" t="s">
        <v>19</v>
      </c>
      <c r="B55" t="s">
        <v>292</v>
      </c>
      <c r="C55" s="12">
        <v>20</v>
      </c>
      <c r="D55" s="12">
        <v>958.7</v>
      </c>
      <c r="E55" s="12"/>
      <c r="F55" t="str">
        <f t="shared" si="0"/>
        <v>California</v>
      </c>
      <c r="G55" t="s">
        <v>292</v>
      </c>
      <c r="H55" s="12">
        <v>20</v>
      </c>
      <c r="I55" s="12"/>
      <c r="J55" s="12" t="str">
        <f t="shared" si="1"/>
        <v>California</v>
      </c>
      <c r="K55" t="s">
        <v>292</v>
      </c>
      <c r="L55" s="12">
        <v>958.7</v>
      </c>
      <c r="M55" s="12"/>
    </row>
    <row r="56" spans="1:13">
      <c r="A56" t="s">
        <v>19</v>
      </c>
      <c r="B56" t="s">
        <v>79</v>
      </c>
      <c r="C56" s="12">
        <v>6</v>
      </c>
      <c r="D56" s="12">
        <v>323</v>
      </c>
      <c r="E56" s="12"/>
      <c r="F56" t="str">
        <f t="shared" si="0"/>
        <v>California</v>
      </c>
      <c r="G56" t="s">
        <v>79</v>
      </c>
      <c r="H56" s="12">
        <v>6</v>
      </c>
      <c r="I56" s="12"/>
      <c r="J56" s="12" t="str">
        <f t="shared" si="1"/>
        <v>California</v>
      </c>
      <c r="K56" t="s">
        <v>79</v>
      </c>
      <c r="L56" s="12">
        <v>323</v>
      </c>
      <c r="M56" s="12"/>
    </row>
    <row r="57" spans="1:13">
      <c r="A57" t="s">
        <v>19</v>
      </c>
      <c r="B57" t="s">
        <v>608</v>
      </c>
      <c r="C57" s="12">
        <v>5</v>
      </c>
      <c r="D57" s="12">
        <v>167.70000000000002</v>
      </c>
      <c r="E57" s="12"/>
      <c r="F57" t="str">
        <f t="shared" si="0"/>
        <v>California</v>
      </c>
      <c r="G57" t="s">
        <v>608</v>
      </c>
      <c r="H57" s="12">
        <v>5</v>
      </c>
      <c r="I57" s="12"/>
      <c r="J57" s="12" t="str">
        <f t="shared" si="1"/>
        <v>California</v>
      </c>
      <c r="K57" t="s">
        <v>608</v>
      </c>
      <c r="L57" s="12">
        <v>167.70000000000002</v>
      </c>
      <c r="M57" s="12"/>
    </row>
    <row r="58" spans="1:13">
      <c r="A58" t="s">
        <v>19</v>
      </c>
      <c r="B58" t="s">
        <v>113</v>
      </c>
      <c r="C58" s="12">
        <v>94</v>
      </c>
      <c r="D58" s="12">
        <v>3978.5</v>
      </c>
      <c r="E58" s="12"/>
      <c r="F58" t="str">
        <f t="shared" si="0"/>
        <v>California</v>
      </c>
      <c r="G58" t="s">
        <v>113</v>
      </c>
      <c r="H58" s="12">
        <v>94</v>
      </c>
      <c r="I58" s="12"/>
      <c r="J58" s="12" t="str">
        <f t="shared" si="1"/>
        <v>California</v>
      </c>
      <c r="K58" t="s">
        <v>113</v>
      </c>
      <c r="L58" s="12">
        <v>3978.5</v>
      </c>
      <c r="M58" s="12"/>
    </row>
    <row r="59" spans="1:13">
      <c r="A59" t="s">
        <v>19</v>
      </c>
      <c r="B59" t="s">
        <v>997</v>
      </c>
      <c r="C59" s="12">
        <v>28</v>
      </c>
      <c r="D59" s="12">
        <v>1405</v>
      </c>
      <c r="F59" t="str">
        <f t="shared" si="0"/>
        <v>California</v>
      </c>
      <c r="G59" t="s">
        <v>997</v>
      </c>
      <c r="H59" s="12">
        <v>28</v>
      </c>
      <c r="I59" s="12"/>
      <c r="J59" s="12" t="str">
        <f t="shared" si="1"/>
        <v>California</v>
      </c>
      <c r="K59" t="s">
        <v>997</v>
      </c>
      <c r="L59" s="12">
        <v>1405</v>
      </c>
      <c r="M59" s="12"/>
    </row>
    <row r="60" spans="1:13">
      <c r="A60" t="s">
        <v>19</v>
      </c>
      <c r="B60" t="s">
        <v>82</v>
      </c>
      <c r="C60" s="12">
        <v>179</v>
      </c>
      <c r="D60" s="12">
        <v>9869.0999999999985</v>
      </c>
      <c r="E60" s="12"/>
      <c r="F60" t="str">
        <f t="shared" si="0"/>
        <v>California</v>
      </c>
      <c r="G60" t="s">
        <v>82</v>
      </c>
      <c r="H60" s="12">
        <v>179</v>
      </c>
      <c r="I60" s="12"/>
      <c r="J60" s="12" t="str">
        <f t="shared" si="1"/>
        <v>California</v>
      </c>
      <c r="K60" t="s">
        <v>82</v>
      </c>
      <c r="L60" s="12">
        <v>9869.0999999999985</v>
      </c>
      <c r="M60" s="12"/>
    </row>
    <row r="61" spans="1:13">
      <c r="A61" t="s">
        <v>19</v>
      </c>
      <c r="B61" t="s">
        <v>243</v>
      </c>
      <c r="C61" s="12">
        <v>15</v>
      </c>
      <c r="D61" s="12">
        <v>615.29999999999995</v>
      </c>
      <c r="E61" s="12"/>
      <c r="F61" t="str">
        <f t="shared" si="0"/>
        <v>California</v>
      </c>
      <c r="G61" t="s">
        <v>243</v>
      </c>
      <c r="H61" s="12">
        <v>15</v>
      </c>
      <c r="I61" s="12"/>
      <c r="J61" s="12" t="str">
        <f t="shared" si="1"/>
        <v>California</v>
      </c>
      <c r="K61" t="s">
        <v>243</v>
      </c>
      <c r="L61" s="12">
        <v>615.29999999999995</v>
      </c>
      <c r="M61" s="12"/>
    </row>
    <row r="62" spans="1:13">
      <c r="A62" t="s">
        <v>19</v>
      </c>
      <c r="B62" t="s">
        <v>1911</v>
      </c>
      <c r="C62" s="12">
        <v>3</v>
      </c>
      <c r="D62" s="12">
        <v>285</v>
      </c>
      <c r="E62" s="12"/>
      <c r="F62" t="str">
        <f t="shared" si="0"/>
        <v>California</v>
      </c>
      <c r="G62" t="s">
        <v>1911</v>
      </c>
      <c r="H62" s="12">
        <v>3</v>
      </c>
      <c r="I62" s="12"/>
      <c r="J62" s="12" t="str">
        <f t="shared" si="1"/>
        <v>California</v>
      </c>
      <c r="K62" t="s">
        <v>1911</v>
      </c>
      <c r="L62" s="12">
        <v>285</v>
      </c>
      <c r="M62" s="12"/>
    </row>
  </sheetData>
  <sortState xmlns:xlrd2="http://schemas.microsoft.com/office/spreadsheetml/2017/richdata2" ref="H5:J62">
    <sortCondition descending="1" ref="I5:I62"/>
  </sortState>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K19"/>
  <sheetViews>
    <sheetView workbookViewId="0">
      <selection activeCell="B3" sqref="B3"/>
    </sheetView>
  </sheetViews>
  <sheetFormatPr defaultRowHeight="13.8"/>
  <cols>
    <col min="1" max="1" width="13.09765625" customWidth="1"/>
    <col min="2" max="2" width="13.5" bestFit="1" customWidth="1"/>
    <col min="5" max="5" width="13.5" customWidth="1"/>
    <col min="6" max="6" width="16.09765625" bestFit="1" customWidth="1"/>
    <col min="7" max="8" width="3.8984375" bestFit="1" customWidth="1"/>
    <col min="9" max="9" width="4.8984375" bestFit="1" customWidth="1"/>
    <col min="10" max="10" width="3.8984375" bestFit="1" customWidth="1"/>
    <col min="11" max="11" width="11" customWidth="1"/>
    <col min="12" max="13" width="1.8984375" customWidth="1"/>
    <col min="14" max="14" width="11.3984375" customWidth="1"/>
    <col min="15" max="15" width="8.296875" customWidth="1"/>
    <col min="16" max="18" width="1.8984375" customWidth="1"/>
    <col min="19" max="19" width="11.3984375" customWidth="1"/>
    <col min="20" max="20" width="8.296875" customWidth="1"/>
    <col min="21" max="22" width="1.8984375" customWidth="1"/>
    <col min="23" max="23" width="2.8984375" customWidth="1"/>
    <col min="24" max="24" width="11.3984375" customWidth="1"/>
    <col min="25" max="25" width="8.296875" customWidth="1"/>
    <col min="26" max="26" width="1.8984375" customWidth="1"/>
    <col min="27" max="27" width="2.8984375" customWidth="1"/>
    <col min="28" max="28" width="1.8984375" customWidth="1"/>
    <col min="29" max="29" width="11.3984375" customWidth="1"/>
    <col min="30" max="30" width="8.296875" customWidth="1"/>
    <col min="31" max="31" width="1.8984375" customWidth="1"/>
    <col min="32" max="32" width="2.8984375" customWidth="1"/>
    <col min="33" max="33" width="1.8984375" customWidth="1"/>
    <col min="34" max="34" width="11.3984375" customWidth="1"/>
    <col min="35" max="35" width="8.296875" customWidth="1"/>
    <col min="36" max="37" width="1.8984375" customWidth="1"/>
    <col min="38" max="38" width="2.8984375" customWidth="1"/>
    <col min="39" max="39" width="1.8984375" customWidth="1"/>
    <col min="40" max="40" width="11.3984375" customWidth="1"/>
    <col min="41" max="41" width="8.296875" customWidth="1"/>
    <col min="42" max="42" width="1.8984375" customWidth="1"/>
    <col min="43" max="43" width="2.8984375" customWidth="1"/>
    <col min="44" max="44" width="11.3984375" customWidth="1"/>
    <col min="45" max="45" width="8.296875" customWidth="1"/>
    <col min="46" max="48" width="1.8984375" customWidth="1"/>
    <col min="49" max="49" width="11.3984375" customWidth="1"/>
    <col min="50" max="50" width="8.296875" customWidth="1"/>
    <col min="51" max="51" width="2.8984375" customWidth="1"/>
    <col min="52" max="52" width="1.8984375" customWidth="1"/>
    <col min="53" max="53" width="11.3984375" customWidth="1"/>
    <col min="54" max="54" width="8.296875" customWidth="1"/>
    <col min="55" max="56" width="1.8984375" customWidth="1"/>
    <col min="57" max="57" width="11.3984375" customWidth="1"/>
    <col min="58" max="58" width="8.296875" customWidth="1"/>
    <col min="59" max="61" width="1.8984375" customWidth="1"/>
    <col min="62" max="62" width="2.8984375" customWidth="1"/>
    <col min="63" max="63" width="11.3984375" customWidth="1"/>
    <col min="64" max="64" width="8.296875" customWidth="1"/>
    <col min="65" max="66" width="1.8984375" customWidth="1"/>
    <col min="67" max="67" width="2.8984375" customWidth="1"/>
    <col min="68" max="68" width="1.8984375" customWidth="1"/>
    <col min="69" max="69" width="11.3984375" customWidth="1"/>
    <col min="70" max="70" width="8.296875" customWidth="1"/>
    <col min="71" max="71" width="1.8984375" customWidth="1"/>
    <col min="72" max="72" width="2.8984375" customWidth="1"/>
    <col min="73" max="73" width="1.8984375" customWidth="1"/>
    <col min="74" max="74" width="11.3984375" customWidth="1"/>
    <col min="75" max="75" width="8.296875" customWidth="1"/>
    <col min="76" max="78" width="1.8984375" customWidth="1"/>
    <col min="79" max="79" width="11.3984375" customWidth="1"/>
    <col min="80" max="80" width="8.296875" customWidth="1"/>
    <col min="81" max="83" width="1.8984375" customWidth="1"/>
    <col min="84" max="84" width="11.3984375" customWidth="1"/>
    <col min="85" max="85" width="8.296875" customWidth="1"/>
    <col min="86" max="86" width="1.8984375" customWidth="1"/>
    <col min="87" max="87" width="2.8984375" customWidth="1"/>
    <col min="88" max="88" width="1.8984375" customWidth="1"/>
    <col min="89" max="89" width="11.3984375" customWidth="1"/>
    <col min="90" max="90" width="8.296875" customWidth="1"/>
    <col min="91" max="93" width="1.8984375" customWidth="1"/>
    <col min="94" max="94" width="11.3984375" bestFit="1" customWidth="1"/>
    <col min="95" max="95" width="8.296875" customWidth="1"/>
    <col min="96" max="96" width="1.8984375" customWidth="1"/>
    <col min="97" max="98" width="2.8984375" customWidth="1"/>
    <col min="99" max="99" width="11.3984375" bestFit="1" customWidth="1"/>
    <col min="100" max="100" width="8.296875" customWidth="1"/>
    <col min="101" max="103" width="1.8984375" customWidth="1"/>
    <col min="104" max="104" width="11.3984375" bestFit="1" customWidth="1"/>
    <col min="105" max="105" width="8.296875" customWidth="1"/>
    <col min="106" max="106" width="1.8984375" customWidth="1"/>
    <col min="107" max="107" width="2.8984375" customWidth="1"/>
    <col min="108" max="108" width="1.8984375" customWidth="1"/>
    <col min="109" max="109" width="11.3984375" bestFit="1" customWidth="1"/>
    <col min="110" max="110" width="8.296875" customWidth="1"/>
    <col min="111" max="112" width="2.8984375" customWidth="1"/>
    <col min="113" max="113" width="1.8984375" customWidth="1"/>
    <col min="114" max="114" width="11.3984375" bestFit="1" customWidth="1"/>
    <col min="115" max="115" width="8.296875" customWidth="1"/>
    <col min="116" max="116" width="1.8984375" customWidth="1"/>
    <col min="117" max="117" width="2.8984375" customWidth="1"/>
    <col min="118" max="118" width="1.8984375" customWidth="1"/>
    <col min="119" max="119" width="11.3984375" bestFit="1" customWidth="1"/>
    <col min="120" max="120" width="8.296875" customWidth="1"/>
    <col min="121" max="122" width="1.8984375" customWidth="1"/>
    <col min="123" max="123" width="11.3984375" bestFit="1" customWidth="1"/>
    <col min="124" max="124" width="8.296875" customWidth="1"/>
    <col min="125" max="127" width="1.8984375" customWidth="1"/>
    <col min="128" max="128" width="11.3984375" bestFit="1" customWidth="1"/>
    <col min="129" max="129" width="8.296875" customWidth="1"/>
    <col min="130" max="132" width="2.8984375" customWidth="1"/>
    <col min="133" max="133" width="11.3984375" bestFit="1" customWidth="1"/>
    <col min="134" max="134" width="8.296875" customWidth="1"/>
    <col min="135" max="137" width="1.8984375" customWidth="1"/>
    <col min="138" max="138" width="11.3984375" bestFit="1" customWidth="1"/>
    <col min="139" max="139" width="8.296875" customWidth="1"/>
    <col min="140" max="141" width="1.8984375" customWidth="1"/>
    <col min="142" max="142" width="11.3984375" bestFit="1" customWidth="1"/>
    <col min="143" max="143" width="8.296875" customWidth="1"/>
    <col min="144" max="145" width="2.8984375" customWidth="1"/>
    <col min="146" max="146" width="11.3984375" bestFit="1" customWidth="1"/>
    <col min="147" max="147" width="8.296875" customWidth="1"/>
    <col min="148" max="148" width="2.8984375" customWidth="1"/>
    <col min="149" max="149" width="1.8984375" customWidth="1"/>
    <col min="150" max="150" width="11.3984375" bestFit="1" customWidth="1"/>
    <col min="151" max="151" width="8.296875" customWidth="1"/>
    <col min="152" max="153" width="1.8984375" customWidth="1"/>
    <col min="154" max="154" width="2.8984375" customWidth="1"/>
    <col min="155" max="155" width="11.3984375" bestFit="1" customWidth="1"/>
    <col min="156" max="156" width="8.5" customWidth="1"/>
    <col min="157" max="159" width="1.8984375" customWidth="1"/>
    <col min="160" max="160" width="11.59765625" bestFit="1" customWidth="1"/>
    <col min="161" max="161" width="8.5" customWidth="1"/>
    <col min="162" max="164" width="2.8984375" customWidth="1"/>
    <col min="165" max="165" width="11.59765625" bestFit="1" customWidth="1"/>
    <col min="166" max="166" width="8.5" customWidth="1"/>
    <col min="167" max="167" width="1.8984375" customWidth="1"/>
    <col min="168" max="168" width="2.8984375" customWidth="1"/>
    <col min="169" max="169" width="1.8984375" customWidth="1"/>
    <col min="170" max="170" width="11.59765625" bestFit="1" customWidth="1"/>
    <col min="171" max="171" width="8.5" customWidth="1"/>
    <col min="172" max="174" width="2.8984375" customWidth="1"/>
    <col min="175" max="175" width="11.59765625" bestFit="1" customWidth="1"/>
    <col min="176" max="176" width="8.5" customWidth="1"/>
    <col min="177" max="178" width="1.8984375" customWidth="1"/>
    <col min="179" max="179" width="2.8984375" customWidth="1"/>
    <col min="180" max="180" width="11.59765625" bestFit="1" customWidth="1"/>
    <col min="181" max="181" width="8.5" customWidth="1"/>
    <col min="182" max="184" width="2.8984375" customWidth="1"/>
    <col min="185" max="185" width="11.59765625" bestFit="1" customWidth="1"/>
    <col min="186" max="186" width="8.5" customWidth="1"/>
    <col min="187" max="188" width="1.8984375" customWidth="1"/>
    <col min="189" max="189" width="11.59765625" bestFit="1" customWidth="1"/>
    <col min="190" max="190" width="8.5" customWidth="1"/>
    <col min="191" max="191" width="1.8984375" customWidth="1"/>
    <col min="192" max="192" width="2.8984375" customWidth="1"/>
    <col min="193" max="193" width="1.8984375" customWidth="1"/>
    <col min="194" max="194" width="11.59765625" bestFit="1" customWidth="1"/>
    <col min="195" max="195" width="8.5" customWidth="1"/>
    <col min="196" max="197" width="1.8984375" customWidth="1"/>
    <col min="198" max="199" width="2.8984375" customWidth="1"/>
    <col min="200" max="200" width="11.59765625" bestFit="1" customWidth="1"/>
    <col min="201" max="201" width="8.5" customWidth="1"/>
    <col min="202" max="203" width="2.8984375" customWidth="1"/>
    <col min="204" max="204" width="11.59765625" bestFit="1" customWidth="1"/>
    <col min="205" max="205" width="8.5" customWidth="1"/>
    <col min="206" max="206" width="1.8984375" customWidth="1"/>
    <col min="207" max="207" width="2.8984375" customWidth="1"/>
    <col min="208" max="208" width="1.8984375" customWidth="1"/>
    <col min="209" max="209" width="11.59765625" bestFit="1" customWidth="1"/>
    <col min="210" max="210" width="8.5" customWidth="1"/>
    <col min="211" max="213" width="1.8984375" customWidth="1"/>
    <col min="214" max="214" width="11.59765625" bestFit="1" customWidth="1"/>
    <col min="215" max="215" width="8.5" customWidth="1"/>
    <col min="216" max="216" width="1.8984375" customWidth="1"/>
    <col min="217" max="217" width="2.8984375" customWidth="1"/>
    <col min="218" max="218" width="1.8984375" customWidth="1"/>
    <col min="219" max="219" width="11.59765625" bestFit="1" customWidth="1"/>
    <col min="220" max="220" width="8.5" customWidth="1"/>
    <col min="221" max="221" width="1.8984375" customWidth="1"/>
    <col min="222" max="222" width="2.8984375" customWidth="1"/>
    <col min="223" max="223" width="1.8984375" customWidth="1"/>
    <col min="224" max="224" width="11.59765625" bestFit="1" customWidth="1"/>
    <col min="225" max="225" width="8.5" customWidth="1"/>
    <col min="226" max="227" width="1.8984375" customWidth="1"/>
    <col min="228" max="228" width="2.8984375" customWidth="1"/>
    <col min="229" max="229" width="11.59765625" bestFit="1" customWidth="1"/>
    <col min="230" max="230" width="8.5" customWidth="1"/>
    <col min="231" max="231" width="2.8984375" customWidth="1"/>
    <col min="232" max="232" width="1.8984375" customWidth="1"/>
    <col min="233" max="233" width="11.59765625" bestFit="1" customWidth="1"/>
    <col min="234" max="234" width="8.5" customWidth="1"/>
    <col min="235" max="235" width="1.8984375" customWidth="1"/>
    <col min="236" max="236" width="2.8984375" customWidth="1"/>
    <col min="237" max="237" width="1.8984375" customWidth="1"/>
    <col min="238" max="238" width="11.59765625" bestFit="1" customWidth="1"/>
    <col min="239" max="239" width="8.5" customWidth="1"/>
    <col min="240" max="240" width="1.8984375" customWidth="1"/>
    <col min="241" max="243" width="2.8984375" customWidth="1"/>
    <col min="244" max="244" width="11.59765625" bestFit="1" customWidth="1"/>
    <col min="245" max="245" width="8.5" customWidth="1"/>
    <col min="246" max="246" width="1.8984375" customWidth="1"/>
    <col min="247" max="247" width="2.8984375" customWidth="1"/>
    <col min="248" max="248" width="1.8984375" customWidth="1"/>
    <col min="249" max="249" width="11.59765625" bestFit="1" customWidth="1"/>
    <col min="250" max="250" width="8.5" customWidth="1"/>
    <col min="251" max="251" width="1.8984375" customWidth="1"/>
    <col min="252" max="252" width="2.8984375" customWidth="1"/>
    <col min="253" max="253" width="1.8984375" customWidth="1"/>
    <col min="254" max="254" width="11.59765625" bestFit="1" customWidth="1"/>
    <col min="255" max="255" width="8.5" customWidth="1"/>
    <col min="256" max="258" width="2.8984375" customWidth="1"/>
    <col min="259" max="259" width="11.59765625" bestFit="1" customWidth="1"/>
    <col min="260" max="260" width="8.5" customWidth="1"/>
    <col min="261" max="261" width="1.8984375" customWidth="1"/>
    <col min="262" max="262" width="2.8984375" customWidth="1"/>
    <col min="263" max="263" width="1.8984375" customWidth="1"/>
    <col min="264" max="264" width="11.59765625" bestFit="1" customWidth="1"/>
    <col min="265" max="265" width="8.5" customWidth="1"/>
    <col min="266" max="266" width="1.8984375" customWidth="1"/>
    <col min="267" max="267" width="2.8984375" customWidth="1"/>
    <col min="268" max="268" width="1.8984375" customWidth="1"/>
    <col min="269" max="269" width="11.59765625" bestFit="1" customWidth="1"/>
    <col min="270" max="270" width="8.5" customWidth="1"/>
    <col min="271" max="273" width="1.8984375" customWidth="1"/>
    <col min="274" max="274" width="2.8984375" customWidth="1"/>
    <col min="275" max="275" width="11.59765625" bestFit="1" customWidth="1"/>
    <col min="276" max="276" width="8.5" customWidth="1"/>
    <col min="277" max="278" width="1.8984375" customWidth="1"/>
    <col min="279" max="280" width="2.8984375" customWidth="1"/>
    <col min="281" max="281" width="11.59765625" bestFit="1" customWidth="1"/>
    <col min="282" max="282" width="8.5" customWidth="1"/>
    <col min="283" max="283" width="1.8984375" customWidth="1"/>
    <col min="284" max="285" width="2.8984375" customWidth="1"/>
    <col min="286" max="286" width="11.59765625" bestFit="1" customWidth="1"/>
    <col min="287" max="287" width="8.5" customWidth="1"/>
    <col min="288" max="288" width="1.8984375" customWidth="1"/>
    <col min="289" max="289" width="2.8984375" customWidth="1"/>
    <col min="290" max="290" width="1.8984375" customWidth="1"/>
    <col min="291" max="291" width="11.59765625" bestFit="1" customWidth="1"/>
    <col min="292" max="292" width="8.5" customWidth="1"/>
    <col min="293" max="294" width="1.8984375" customWidth="1"/>
    <col min="295" max="296" width="2.8984375" customWidth="1"/>
    <col min="297" max="297" width="11.59765625" bestFit="1" customWidth="1"/>
    <col min="298" max="298" width="8.3984375" customWidth="1"/>
    <col min="299" max="299" width="1.8984375" customWidth="1"/>
    <col min="300" max="300" width="2.8984375" customWidth="1"/>
    <col min="301" max="301" width="1.8984375" customWidth="1"/>
    <col min="302" max="302" width="11.5" bestFit="1" customWidth="1"/>
    <col min="303" max="303" width="8.3984375" customWidth="1"/>
    <col min="304" max="304" width="2.8984375" customWidth="1"/>
    <col min="305" max="305" width="1.8984375" customWidth="1"/>
    <col min="306" max="306" width="11.5" bestFit="1" customWidth="1"/>
    <col min="307" max="307" width="8.3984375" customWidth="1"/>
    <col min="308" max="308" width="1.8984375" customWidth="1"/>
    <col min="309" max="310" width="2.8984375" customWidth="1"/>
    <col min="311" max="311" width="11.5" bestFit="1" customWidth="1"/>
    <col min="312" max="312" width="8.3984375" customWidth="1"/>
    <col min="313" max="314" width="2.8984375" customWidth="1"/>
    <col min="315" max="315" width="1.8984375" customWidth="1"/>
    <col min="316" max="316" width="11.5" bestFit="1" customWidth="1"/>
    <col min="317" max="317" width="8.3984375" customWidth="1"/>
    <col min="318" max="318" width="1.8984375" customWidth="1"/>
    <col min="319" max="320" width="2.8984375" customWidth="1"/>
    <col min="321" max="321" width="11.5" bestFit="1" customWidth="1"/>
    <col min="322" max="322" width="8.3984375" customWidth="1"/>
    <col min="323" max="323" width="1.8984375" customWidth="1"/>
    <col min="324" max="325" width="2.8984375" customWidth="1"/>
    <col min="326" max="326" width="11.5" bestFit="1" customWidth="1"/>
    <col min="327" max="327" width="8.3984375" customWidth="1"/>
    <col min="328" max="330" width="1.8984375" customWidth="1"/>
    <col min="331" max="331" width="11.5" bestFit="1" customWidth="1"/>
    <col min="332" max="332" width="8.3984375" customWidth="1"/>
    <col min="333" max="333" width="1.8984375" customWidth="1"/>
    <col min="334" max="334" width="2.8984375" customWidth="1"/>
    <col min="335" max="335" width="1.8984375" customWidth="1"/>
    <col min="336" max="336" width="11.5" bestFit="1" customWidth="1"/>
    <col min="337" max="337" width="8.3984375" customWidth="1"/>
    <col min="338" max="341" width="1.8984375" customWidth="1"/>
    <col min="342" max="342" width="11.5" bestFit="1" customWidth="1"/>
    <col min="343" max="343" width="8.3984375" customWidth="1"/>
    <col min="344" max="344" width="1.8984375" customWidth="1"/>
    <col min="345" max="346" width="2.8984375" customWidth="1"/>
    <col min="347" max="347" width="11.5" bestFit="1" customWidth="1"/>
    <col min="348" max="348" width="8.3984375" customWidth="1"/>
    <col min="349" max="349" width="1.8984375" customWidth="1"/>
    <col min="350" max="350" width="2.8984375" customWidth="1"/>
    <col min="351" max="351" width="1.8984375" customWidth="1"/>
    <col min="352" max="352" width="11.5" bestFit="1" customWidth="1"/>
    <col min="353" max="353" width="8.3984375" customWidth="1"/>
    <col min="354" max="355" width="2.8984375" customWidth="1"/>
    <col min="356" max="356" width="1.8984375" customWidth="1"/>
    <col min="357" max="357" width="11.5" bestFit="1" customWidth="1"/>
    <col min="358" max="358" width="8.3984375" customWidth="1"/>
    <col min="359" max="359" width="1.8984375" customWidth="1"/>
    <col min="360" max="360" width="2.8984375" customWidth="1"/>
    <col min="361" max="361" width="1.8984375" customWidth="1"/>
    <col min="362" max="362" width="11.5" bestFit="1" customWidth="1"/>
    <col min="363" max="363" width="8.3984375" customWidth="1"/>
    <col min="364" max="366" width="1.8984375" customWidth="1"/>
    <col min="367" max="367" width="11.5" bestFit="1" customWidth="1"/>
    <col min="368" max="368" width="8.3984375" customWidth="1"/>
    <col min="369" max="369" width="2.8984375" customWidth="1"/>
    <col min="370" max="371" width="1.8984375" customWidth="1"/>
    <col min="372" max="372" width="11.5" bestFit="1" customWidth="1"/>
    <col min="373" max="373" width="8.3984375" customWidth="1"/>
    <col min="374" max="375" width="2.8984375" customWidth="1"/>
    <col min="376" max="376" width="11.5" bestFit="1" customWidth="1"/>
    <col min="377" max="377" width="8.3984375" customWidth="1"/>
    <col min="378" max="378" width="1.8984375" customWidth="1"/>
    <col min="379" max="379" width="2.8984375" customWidth="1"/>
    <col min="380" max="380" width="1.8984375" customWidth="1"/>
    <col min="381" max="381" width="11.5" bestFit="1" customWidth="1"/>
    <col min="382" max="382" width="8.3984375" customWidth="1"/>
    <col min="383" max="384" width="1.8984375" customWidth="1"/>
    <col min="385" max="385" width="2.8984375" customWidth="1"/>
    <col min="386" max="386" width="11.5" bestFit="1" customWidth="1"/>
    <col min="387" max="387" width="8.3984375" customWidth="1"/>
    <col min="388" max="388" width="1.8984375" customWidth="1"/>
    <col min="389" max="390" width="2.8984375" customWidth="1"/>
    <col min="391" max="391" width="11.5" bestFit="1" customWidth="1"/>
    <col min="392" max="392" width="8.3984375" customWidth="1"/>
    <col min="393" max="394" width="2.8984375" customWidth="1"/>
    <col min="395" max="395" width="11.5" bestFit="1" customWidth="1"/>
    <col min="396" max="396" width="8.3984375" customWidth="1"/>
    <col min="397" max="397" width="1.8984375" customWidth="1"/>
    <col min="398" max="399" width="2.8984375" customWidth="1"/>
    <col min="400" max="400" width="11.5" bestFit="1" customWidth="1"/>
    <col min="401" max="401" width="8.3984375" customWidth="1"/>
    <col min="402" max="402" width="1.8984375" customWidth="1"/>
    <col min="403" max="403" width="2.8984375" customWidth="1"/>
    <col min="404" max="404" width="1.8984375" customWidth="1"/>
    <col min="405" max="405" width="11.5" bestFit="1" customWidth="1"/>
    <col min="406" max="406" width="8.3984375" customWidth="1"/>
    <col min="407" max="407" width="2.8984375" customWidth="1"/>
    <col min="408" max="408" width="1.8984375" customWidth="1"/>
    <col min="409" max="409" width="11.5" bestFit="1" customWidth="1"/>
    <col min="410" max="410" width="8.3984375" customWidth="1"/>
    <col min="411" max="413" width="1.8984375" customWidth="1"/>
    <col min="414" max="414" width="11.5" bestFit="1" customWidth="1"/>
    <col min="415" max="415" width="8.3984375" customWidth="1"/>
    <col min="416" max="416" width="2.8984375" customWidth="1"/>
    <col min="417" max="417" width="1.8984375" customWidth="1"/>
    <col min="418" max="418" width="11.5" bestFit="1" customWidth="1"/>
    <col min="419" max="419" width="8.3984375" customWidth="1"/>
    <col min="420" max="421" width="1.8984375" customWidth="1"/>
    <col min="422" max="422" width="2.8984375" customWidth="1"/>
    <col min="423" max="423" width="1.8984375" customWidth="1"/>
    <col min="424" max="424" width="11.5" bestFit="1" customWidth="1"/>
    <col min="425" max="425" width="8.3984375" customWidth="1"/>
    <col min="426" max="427" width="1.8984375" customWidth="1"/>
    <col min="428" max="428" width="2.8984375" customWidth="1"/>
    <col min="429" max="429" width="1.8984375" customWidth="1"/>
    <col min="430" max="430" width="11.5" bestFit="1" customWidth="1"/>
    <col min="431" max="431" width="8.3984375" customWidth="1"/>
    <col min="432" max="435" width="1.8984375" customWidth="1"/>
    <col min="436" max="436" width="11.5" bestFit="1" customWidth="1"/>
    <col min="437" max="437" width="8.3984375" customWidth="1"/>
    <col min="438" max="439" width="2.8984375" customWidth="1"/>
    <col min="440" max="440" width="11.5" bestFit="1" customWidth="1"/>
    <col min="441" max="441" width="11" bestFit="1" customWidth="1"/>
  </cols>
  <sheetData>
    <row r="3" spans="1:11">
      <c r="A3" s="13" t="s">
        <v>2559</v>
      </c>
      <c r="B3" t="s">
        <v>2548</v>
      </c>
    </row>
    <row r="4" spans="1:11">
      <c r="A4" s="14">
        <v>0</v>
      </c>
      <c r="B4" s="12">
        <v>175</v>
      </c>
    </row>
    <row r="5" spans="1:11">
      <c r="A5" s="14">
        <v>1</v>
      </c>
      <c r="B5" s="12">
        <v>888</v>
      </c>
      <c r="E5" s="13" t="s">
        <v>2548</v>
      </c>
      <c r="F5" s="13" t="s">
        <v>2561</v>
      </c>
    </row>
    <row r="6" spans="1:11">
      <c r="A6" s="14">
        <v>2</v>
      </c>
      <c r="B6" s="12">
        <v>538</v>
      </c>
      <c r="E6" s="13" t="s">
        <v>2559</v>
      </c>
      <c r="F6">
        <v>1</v>
      </c>
      <c r="G6">
        <v>2</v>
      </c>
      <c r="H6">
        <v>3</v>
      </c>
      <c r="I6">
        <v>4</v>
      </c>
      <c r="J6">
        <v>5</v>
      </c>
      <c r="K6" t="s">
        <v>2560</v>
      </c>
    </row>
    <row r="7" spans="1:11">
      <c r="A7" s="14">
        <v>3</v>
      </c>
      <c r="B7" s="12">
        <v>344</v>
      </c>
      <c r="E7" s="14" t="s">
        <v>2572</v>
      </c>
      <c r="F7" s="12">
        <v>7</v>
      </c>
      <c r="G7" s="12">
        <v>37</v>
      </c>
      <c r="H7" s="12">
        <v>150</v>
      </c>
      <c r="I7" s="12">
        <v>312</v>
      </c>
      <c r="J7" s="12">
        <v>224</v>
      </c>
      <c r="K7" s="12">
        <v>730</v>
      </c>
    </row>
    <row r="8" spans="1:11">
      <c r="A8" s="14">
        <v>4</v>
      </c>
      <c r="B8" s="12">
        <v>200</v>
      </c>
      <c r="E8" s="14" t="s">
        <v>2573</v>
      </c>
      <c r="F8" s="12">
        <v>8</v>
      </c>
      <c r="G8" s="12">
        <v>51</v>
      </c>
      <c r="H8" s="12">
        <v>182</v>
      </c>
      <c r="I8" s="12">
        <v>373</v>
      </c>
      <c r="J8" s="12">
        <v>247</v>
      </c>
      <c r="K8" s="12">
        <v>861</v>
      </c>
    </row>
    <row r="9" spans="1:11">
      <c r="A9" s="14">
        <v>5</v>
      </c>
      <c r="B9" s="12">
        <v>94</v>
      </c>
      <c r="E9" s="14" t="s">
        <v>2574</v>
      </c>
      <c r="F9" s="12">
        <v>6</v>
      </c>
      <c r="G9" s="12">
        <v>39</v>
      </c>
      <c r="H9" s="12">
        <v>163</v>
      </c>
      <c r="I9" s="12">
        <v>351</v>
      </c>
      <c r="J9" s="12">
        <v>250</v>
      </c>
      <c r="K9" s="12">
        <v>809</v>
      </c>
    </row>
    <row r="10" spans="1:11">
      <c r="A10" s="14">
        <v>6</v>
      </c>
      <c r="B10" s="12">
        <v>51</v>
      </c>
      <c r="E10" s="14" t="s">
        <v>2560</v>
      </c>
      <c r="F10" s="12">
        <v>21</v>
      </c>
      <c r="G10" s="12">
        <v>127</v>
      </c>
      <c r="H10" s="12">
        <v>495</v>
      </c>
      <c r="I10" s="12">
        <v>1036</v>
      </c>
      <c r="J10" s="12">
        <v>721</v>
      </c>
      <c r="K10" s="12">
        <v>2400</v>
      </c>
    </row>
    <row r="11" spans="1:11">
      <c r="A11" s="14">
        <v>7</v>
      </c>
      <c r="B11" s="12">
        <v>32</v>
      </c>
    </row>
    <row r="12" spans="1:11">
      <c r="A12" s="14">
        <v>8</v>
      </c>
      <c r="B12" s="12">
        <v>23</v>
      </c>
    </row>
    <row r="13" spans="1:11">
      <c r="A13" s="14">
        <v>9</v>
      </c>
      <c r="B13" s="12">
        <v>9</v>
      </c>
    </row>
    <row r="14" spans="1:11">
      <c r="A14" s="14">
        <v>10</v>
      </c>
      <c r="B14" s="12">
        <v>8</v>
      </c>
    </row>
    <row r="15" spans="1:11">
      <c r="A15" s="14">
        <v>11</v>
      </c>
      <c r="B15" s="12">
        <v>11</v>
      </c>
    </row>
    <row r="16" spans="1:11">
      <c r="A16" s="14">
        <v>12</v>
      </c>
      <c r="B16" s="12">
        <v>4</v>
      </c>
    </row>
    <row r="17" spans="1:2">
      <c r="A17" s="14">
        <v>13</v>
      </c>
      <c r="B17" s="12">
        <v>10</v>
      </c>
    </row>
    <row r="18" spans="1:2">
      <c r="A18" s="14">
        <v>14</v>
      </c>
      <c r="B18" s="12">
        <v>13</v>
      </c>
    </row>
    <row r="19" spans="1:2">
      <c r="A19" s="14" t="s">
        <v>2560</v>
      </c>
      <c r="B19" s="12">
        <v>2400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401"/>
  <sheetViews>
    <sheetView topLeftCell="A2" workbookViewId="0">
      <selection activeCell="A2" sqref="A2:O2401"/>
    </sheetView>
  </sheetViews>
  <sheetFormatPr defaultRowHeight="13.8"/>
  <cols>
    <col min="2" max="2" width="19.09765625" bestFit="1" customWidth="1"/>
    <col min="3" max="3" width="8.09765625" bestFit="1" customWidth="1"/>
    <col min="4" max="4" width="9.09765625" bestFit="1" customWidth="1"/>
    <col min="5" max="5" width="7.3984375" bestFit="1" customWidth="1"/>
    <col min="6" max="6" width="10" bestFit="1" customWidth="1"/>
    <col min="7" max="7" width="9.3984375" bestFit="1" customWidth="1"/>
    <col min="8" max="8" width="15.69921875" bestFit="1" customWidth="1"/>
    <col min="9" max="9" width="10.69921875" bestFit="1" customWidth="1"/>
    <col min="10" max="10" width="7.796875" bestFit="1" customWidth="1"/>
    <col min="11" max="11" width="8.796875" bestFit="1" customWidth="1"/>
    <col min="12" max="12" width="19.69921875" bestFit="1" customWidth="1"/>
    <col min="13" max="13" width="13.296875" bestFit="1" customWidth="1"/>
    <col min="14" max="14" width="9.296875" bestFit="1" customWidth="1"/>
    <col min="15" max="15" width="12.097656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18"/>
  <sheetViews>
    <sheetView workbookViewId="0">
      <selection activeCell="E9" sqref="E9"/>
    </sheetView>
  </sheetViews>
  <sheetFormatPr defaultRowHeight="13.8"/>
  <cols>
    <col min="1" max="1" width="3.69921875" customWidth="1"/>
    <col min="2" max="2" width="52.7968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abSelected="1" zoomScale="70" zoomScaleNormal="70" workbookViewId="0">
      <selection activeCell="AB14" sqref="AB14"/>
    </sheetView>
  </sheetViews>
  <sheetFormatPr defaultRowHeight="13.8"/>
  <cols>
    <col min="1" max="1" width="3.296875" customWidth="1"/>
    <col min="2" max="2" width="22.19921875" customWidth="1"/>
    <col min="3" max="4" width="3.296875" customWidth="1"/>
    <col min="26" max="26" width="3.29687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I24"/>
  <sheetViews>
    <sheetView workbookViewId="0">
      <selection activeCell="A12" sqref="A12"/>
    </sheetView>
  </sheetViews>
  <sheetFormatPr defaultRowHeight="13.8"/>
  <cols>
    <col min="1" max="1" width="3.296875" customWidth="1"/>
    <col min="8" max="8" width="37.296875" customWidth="1"/>
  </cols>
  <sheetData>
    <row r="3" spans="2:9">
      <c r="B3" t="s">
        <v>2518</v>
      </c>
    </row>
    <row r="5" spans="2:9">
      <c r="B5" t="s">
        <v>2519</v>
      </c>
      <c r="H5" s="11"/>
    </row>
    <row r="6" spans="2:9">
      <c r="B6" s="5"/>
      <c r="C6" t="s">
        <v>2520</v>
      </c>
      <c r="D6" t="s">
        <v>2526</v>
      </c>
      <c r="I6" s="11"/>
    </row>
    <row r="7" spans="2:9">
      <c r="B7" s="6"/>
      <c r="C7" t="s">
        <v>2521</v>
      </c>
      <c r="D7" t="s">
        <v>2527</v>
      </c>
    </row>
    <row r="8" spans="2:9">
      <c r="B8" s="7"/>
      <c r="C8" t="s">
        <v>2522</v>
      </c>
      <c r="D8" t="s">
        <v>2528</v>
      </c>
    </row>
    <row r="9" spans="2:9">
      <c r="B9" s="8"/>
      <c r="C9" t="s">
        <v>2523</v>
      </c>
      <c r="D9" t="s">
        <v>2529</v>
      </c>
    </row>
    <row r="10" spans="2:9">
      <c r="B10" s="9"/>
      <c r="C10" t="s">
        <v>2524</v>
      </c>
      <c r="D10" t="s">
        <v>2530</v>
      </c>
    </row>
    <row r="11" spans="2:9">
      <c r="B11" s="2"/>
      <c r="C11" t="s">
        <v>2525</v>
      </c>
      <c r="D11" t="s">
        <v>2531</v>
      </c>
    </row>
    <row r="13" spans="2:9">
      <c r="B13" t="s">
        <v>2532</v>
      </c>
    </row>
    <row r="14" spans="2:9">
      <c r="B14" t="s">
        <v>2533</v>
      </c>
      <c r="C14" t="s">
        <v>2538</v>
      </c>
    </row>
    <row r="15" spans="2:9">
      <c r="B15" t="s">
        <v>2534</v>
      </c>
      <c r="C15" t="s">
        <v>2</v>
      </c>
    </row>
    <row r="16" spans="2:9">
      <c r="B16" t="s">
        <v>2535</v>
      </c>
      <c r="C16" t="s">
        <v>4</v>
      </c>
    </row>
    <row r="17" spans="2:3">
      <c r="B17" t="s">
        <v>2536</v>
      </c>
      <c r="C17" t="s">
        <v>2539</v>
      </c>
    </row>
    <row r="18" spans="2:3">
      <c r="B18" t="s">
        <v>2537</v>
      </c>
      <c r="C18" t="s">
        <v>2540</v>
      </c>
    </row>
    <row r="21" spans="2:3">
      <c r="B21" t="s">
        <v>2541</v>
      </c>
    </row>
    <row r="22" spans="2:3">
      <c r="B22" t="s">
        <v>2542</v>
      </c>
      <c r="C22" t="s">
        <v>2543</v>
      </c>
    </row>
    <row r="23" spans="2:3">
      <c r="B23" t="s">
        <v>2544</v>
      </c>
      <c r="C23" t="s">
        <v>2545</v>
      </c>
    </row>
    <row r="24" spans="2:3">
      <c r="B24" s="10" t="s">
        <v>2546</v>
      </c>
      <c r="C24" t="s">
        <v>2547</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Sheet1</vt:lpstr>
      <vt:lpstr>Sheet3</vt:lpstr>
      <vt:lpstr>Sheet2</vt:lpstr>
      <vt:lpstr>Sheet4</vt:lpstr>
      <vt:lpstr>Sheet6</vt:lpstr>
      <vt:lpstr>Sheet5</vt:lpstr>
      <vt:lpstr>Sheet8</vt:lpstr>
      <vt:lpstr>Data</vt:lpstr>
      <vt:lpstr>Questions &amp; KPIs</vt:lpstr>
      <vt:lpstr>Dashboard</vt:lpstr>
      <vt:lpstr>Logo &amp; Colors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angel singh</cp:lastModifiedBy>
  <dcterms:created xsi:type="dcterms:W3CDTF">2025-06-13T02:42:26Z</dcterms:created>
  <dcterms:modified xsi:type="dcterms:W3CDTF">2026-03-15T04:20:57Z</dcterms:modified>
</cp:coreProperties>
</file>